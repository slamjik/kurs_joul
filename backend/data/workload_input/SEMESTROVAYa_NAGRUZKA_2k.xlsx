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120" yWindow="105" windowWidth="15120" windowHeight="8010" activeTab="4"/>
  </bookViews>
  <sheets>
    <sheet name="БХТ-25" sheetId="1" r:id="rId1"/>
    <sheet name="БМТ-25" sheetId="2" r:id="rId2"/>
    <sheet name="БЭЭ-25" sheetId="4" r:id="rId3"/>
    <sheet name="БТМО-25" sheetId="5" r:id="rId4"/>
    <sheet name="БПИ-25" sheetId="6" r:id="rId5"/>
  </sheets>
  <definedNames>
    <definedName name="_xlnm.Print_Area" localSheetId="1">'БМТ-25'!$B$1:$K$26</definedName>
    <definedName name="_xlnm.Print_Area" localSheetId="4">'БПИ-25'!$B$1:$K$26</definedName>
    <definedName name="_xlnm.Print_Area" localSheetId="3">'БТМО-25'!$B$1:$K$29</definedName>
    <definedName name="_xlnm.Print_Area" localSheetId="0">'БХТ-25'!$B$1:$K$28</definedName>
    <definedName name="_xlnm.Print_Area" localSheetId="2">'БЭЭ-25'!$B$1:$K$23</definedName>
  </definedNames>
  <calcPr calcId="125725"/>
</workbook>
</file>

<file path=xl/calcChain.xml><?xml version="1.0" encoding="utf-8"?>
<calcChain xmlns="http://schemas.openxmlformats.org/spreadsheetml/2006/main">
  <c r="D22" i="6"/>
  <c r="E9"/>
  <c r="D18" i="5"/>
  <c r="E9"/>
  <c r="D10" i="4"/>
  <c r="D19" i="2"/>
  <c r="D23"/>
  <c r="D18" i="1"/>
  <c r="D23"/>
  <c r="E9"/>
</calcChain>
</file>

<file path=xl/sharedStrings.xml><?xml version="1.0" encoding="utf-8"?>
<sst xmlns="http://schemas.openxmlformats.org/spreadsheetml/2006/main" count="438" uniqueCount="106">
  <si>
    <t>дисциплина</t>
  </si>
  <si>
    <t>преподаватель</t>
  </si>
  <si>
    <t>З</t>
  </si>
  <si>
    <t>Э</t>
  </si>
  <si>
    <t>КР</t>
  </si>
  <si>
    <t>КП</t>
  </si>
  <si>
    <t>Л</t>
  </si>
  <si>
    <t>ПЗ</t>
  </si>
  <si>
    <t>ЛАБ</t>
  </si>
  <si>
    <t>К</t>
  </si>
  <si>
    <t>Математика</t>
  </si>
  <si>
    <t>Швалева А.В.</t>
  </si>
  <si>
    <t>+</t>
  </si>
  <si>
    <t>Нефедова Е.В.</t>
  </si>
  <si>
    <t>Бажуков Д.О.</t>
  </si>
  <si>
    <t>+*</t>
  </si>
  <si>
    <t>Торшина А.В.</t>
  </si>
  <si>
    <t>Нечетов В.Г.</t>
  </si>
  <si>
    <t xml:space="preserve">Швалева А.В. </t>
  </si>
  <si>
    <t>Физика</t>
  </si>
  <si>
    <t>Ткачева И.А.</t>
  </si>
  <si>
    <t>Начертательная геометрия и инженерная графика</t>
  </si>
  <si>
    <t>Табельская В.Н.</t>
  </si>
  <si>
    <t>Инженер УО                           А.Е. Дмитриева</t>
  </si>
  <si>
    <t>Леднов А.В.</t>
  </si>
  <si>
    <t>Белова М.Н.</t>
  </si>
  <si>
    <t>Физическая химия</t>
  </si>
  <si>
    <t>Элективные курсы по физической культуре и спорту</t>
  </si>
  <si>
    <t>Философия</t>
  </si>
  <si>
    <t>Прикладная механика</t>
  </si>
  <si>
    <t>Электротехника</t>
  </si>
  <si>
    <t>Бушуев А.Н.</t>
  </si>
  <si>
    <t>Теплотехника</t>
  </si>
  <si>
    <t>Теория вероятностей и математическая статистика</t>
  </si>
  <si>
    <t>Органическая химия</t>
  </si>
  <si>
    <t>Масалимов А.В.</t>
  </si>
  <si>
    <t>Экология</t>
  </si>
  <si>
    <t>Безопасность жизнедеятельности</t>
  </si>
  <si>
    <t>Нефедов А.В.</t>
  </si>
  <si>
    <t>КУРС 2, СЕМЕСТР 4</t>
  </si>
  <si>
    <t>КУРС 2, СЕМЕСТР 3</t>
  </si>
  <si>
    <t>Гавриш П.В.</t>
  </si>
  <si>
    <t>Теоретические основы электротехники</t>
  </si>
  <si>
    <t>Белых Д.В.</t>
  </si>
  <si>
    <t>Электротехническое и конструкционное материаловедение</t>
  </si>
  <si>
    <t>Теоретическая  механика</t>
  </si>
  <si>
    <t>Нефедьев С.П.</t>
  </si>
  <si>
    <t>Теория механизмов и машин</t>
  </si>
  <si>
    <t>Харченко М.В.</t>
  </si>
  <si>
    <t>Сопротивление материалов</t>
  </si>
  <si>
    <t>Языки программирования</t>
  </si>
  <si>
    <t>Рыбиков Е.В.</t>
  </si>
  <si>
    <t>Вычислительные системы, сети и телекоммуникации</t>
  </si>
  <si>
    <t>Информационные системы и технологии</t>
  </si>
  <si>
    <t>Дискретная математика</t>
  </si>
  <si>
    <t>Филиппов Е.Г.</t>
  </si>
  <si>
    <t>Компьютерная графика</t>
  </si>
  <si>
    <t>Операционные системы</t>
  </si>
  <si>
    <t>Иностранный язык</t>
  </si>
  <si>
    <t>Елисеева И.А.</t>
  </si>
  <si>
    <t>Процессы и аппараты химической технологии</t>
  </si>
  <si>
    <t>Алексеев Д.И.</t>
  </si>
  <si>
    <t>Табельская В.Н.
Нефедов А.В.</t>
  </si>
  <si>
    <r>
      <t>17</t>
    </r>
    <r>
      <rPr>
        <b/>
        <vertAlign val="superscript"/>
        <sz val="18"/>
        <color theme="1"/>
        <rFont val="Times New Roman"/>
        <family val="1"/>
        <charset val="204"/>
      </rPr>
      <t>Т</t>
    </r>
  </si>
  <si>
    <r>
      <t>34</t>
    </r>
    <r>
      <rPr>
        <b/>
        <vertAlign val="superscript"/>
        <sz val="18"/>
        <color theme="1"/>
        <rFont val="Times New Roman"/>
        <family val="1"/>
        <charset val="204"/>
      </rPr>
      <t>Н</t>
    </r>
  </si>
  <si>
    <t>Механика жидкости и газа</t>
  </si>
  <si>
    <t>Металлургические технологии</t>
  </si>
  <si>
    <t>Женин Е.В.</t>
  </si>
  <si>
    <t>Детали машин</t>
  </si>
  <si>
    <t>Харченко М.В.
Гавриш П.В.</t>
  </si>
  <si>
    <r>
      <t>19</t>
    </r>
    <r>
      <rPr>
        <b/>
        <vertAlign val="superscript"/>
        <sz val="18"/>
        <color theme="1"/>
        <rFont val="Times New Roman"/>
        <family val="1"/>
        <charset val="204"/>
      </rPr>
      <t>Г</t>
    </r>
  </si>
  <si>
    <t>Электрические машины</t>
  </si>
  <si>
    <t>Физические основы электроники</t>
  </si>
  <si>
    <t>Цифровая и аналоговая электроника</t>
  </si>
  <si>
    <t>Лицин К.В.
Белых Д.В.</t>
  </si>
  <si>
    <r>
      <t>38</t>
    </r>
    <r>
      <rPr>
        <b/>
        <vertAlign val="superscript"/>
        <sz val="18"/>
        <color theme="1"/>
        <rFont val="Times New Roman"/>
        <family val="1"/>
        <charset val="204"/>
      </rPr>
      <t>Л</t>
    </r>
  </si>
  <si>
    <t>Материаловедение и технология конструкционных материалов</t>
  </si>
  <si>
    <t>Основы проектирования</t>
  </si>
  <si>
    <t>Ганин Д.Р.</t>
  </si>
  <si>
    <t>17*2</t>
  </si>
  <si>
    <t>34*2</t>
  </si>
  <si>
    <t>19*2</t>
  </si>
  <si>
    <t>Теория систем и системный анализ</t>
  </si>
  <si>
    <t>Ячиков И.М</t>
  </si>
  <si>
    <t>Численные методы и методы оптимизации</t>
  </si>
  <si>
    <t>ГРУППА БПИ-25</t>
  </si>
  <si>
    <t>2026-2027 учебный год</t>
  </si>
  <si>
    <t>ГРУППА БХТ-25</t>
  </si>
  <si>
    <t>ГРУППА БЭЭ-25</t>
  </si>
  <si>
    <t>ГРУППА БТМО-25</t>
  </si>
  <si>
    <t xml:space="preserve">ГРУППА БМТ-25       </t>
  </si>
  <si>
    <t>Степыко Т.В.</t>
  </si>
  <si>
    <t>Табельская В.Н.
\Степыко Т.В.</t>
  </si>
  <si>
    <r>
      <t>34</t>
    </r>
    <r>
      <rPr>
        <b/>
        <vertAlign val="superscript"/>
        <sz val="18"/>
        <color theme="1"/>
        <rFont val="Times New Roman"/>
        <family val="1"/>
        <charset val="204"/>
      </rPr>
      <t>С</t>
    </r>
  </si>
  <si>
    <t>Китанов А.А./ Степыко Т.В.</t>
  </si>
  <si>
    <r>
      <t>17</t>
    </r>
    <r>
      <rPr>
        <b/>
        <vertAlign val="superscript"/>
        <sz val="18"/>
        <color theme="1"/>
        <rFont val="Times New Roman"/>
        <family val="1"/>
        <charset val="204"/>
      </rPr>
      <t>К</t>
    </r>
  </si>
  <si>
    <r>
      <t>19</t>
    </r>
    <r>
      <rPr>
        <b/>
        <vertAlign val="superscript"/>
        <sz val="18"/>
        <color theme="1"/>
        <rFont val="Times New Roman"/>
        <family val="1"/>
        <charset val="204"/>
      </rPr>
      <t>Х</t>
    </r>
  </si>
  <si>
    <t>Термодинамика и кинетика металлургических процессов</t>
  </si>
  <si>
    <t>Шаповалов А.Н.</t>
  </si>
  <si>
    <t>Мажирина Р.Е.</t>
  </si>
  <si>
    <t>ВАКАНСИЯ</t>
  </si>
  <si>
    <r>
      <t>19</t>
    </r>
    <r>
      <rPr>
        <b/>
        <vertAlign val="superscript"/>
        <sz val="18"/>
        <color theme="1"/>
        <rFont val="Times New Roman"/>
        <family val="1"/>
        <charset val="204"/>
      </rPr>
      <t>Л</t>
    </r>
  </si>
  <si>
    <r>
      <t>19</t>
    </r>
    <r>
      <rPr>
        <b/>
        <sz val="12"/>
        <color theme="1"/>
        <rFont val="Times New Roman"/>
        <family val="1"/>
        <charset val="204"/>
      </rPr>
      <t>*</t>
    </r>
    <r>
      <rPr>
        <b/>
        <sz val="18"/>
        <color theme="1"/>
        <rFont val="Times New Roman"/>
        <family val="1"/>
        <charset val="204"/>
      </rPr>
      <t>2</t>
    </r>
    <r>
      <rPr>
        <b/>
        <vertAlign val="superscript"/>
        <sz val="12"/>
        <color theme="1"/>
        <rFont val="Times New Roman"/>
        <family val="1"/>
        <charset val="204"/>
      </rPr>
      <t>Б</t>
    </r>
  </si>
  <si>
    <t>Китанов А.А.
Степыко Т.В.</t>
  </si>
  <si>
    <r>
      <t>19</t>
    </r>
    <r>
      <rPr>
        <b/>
        <vertAlign val="superscript"/>
        <sz val="18"/>
        <color theme="1"/>
        <rFont val="Times New Roman"/>
        <family val="1"/>
        <charset val="204"/>
      </rPr>
      <t>К</t>
    </r>
  </si>
  <si>
    <r>
      <t>38</t>
    </r>
    <r>
      <rPr>
        <b/>
        <vertAlign val="superscript"/>
        <sz val="18"/>
        <color theme="1"/>
        <rFont val="Times New Roman"/>
        <family val="1"/>
        <charset val="204"/>
      </rPr>
      <t>С</t>
    </r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</si>
</sst>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b/>
      <vertAlign val="superscript"/>
      <sz val="18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b/>
      <vertAlign val="superscript"/>
      <sz val="12"/>
      <color theme="1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4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4" borderId="7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5" fillId="4" borderId="0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7" fillId="4" borderId="8" xfId="0" applyFont="1" applyFill="1" applyBorder="1" applyAlignment="1">
      <alignment horizontal="left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7" fillId="4" borderId="14" xfId="0" applyFont="1" applyFill="1" applyBorder="1" applyAlignment="1">
      <alignment horizontal="left" vertical="center" wrapText="1"/>
    </xf>
    <xf numFmtId="0" fontId="4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left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8" fillId="4" borderId="16" xfId="0" applyFont="1" applyFill="1" applyBorder="1" applyAlignment="1">
      <alignment horizontal="center" vertical="center" wrapText="1"/>
    </xf>
    <xf numFmtId="0" fontId="8" fillId="4" borderId="13" xfId="0" applyFont="1" applyFill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3" borderId="20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top" wrapText="1"/>
    </xf>
    <xf numFmtId="0" fontId="1" fillId="0" borderId="27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5" fillId="2" borderId="28" xfId="0" applyFont="1" applyFill="1" applyBorder="1" applyAlignment="1">
      <alignment horizontal="center" vertical="center" wrapText="1"/>
    </xf>
    <xf numFmtId="0" fontId="5" fillId="2" borderId="29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4" borderId="29" xfId="0" applyFont="1" applyFill="1" applyBorder="1" applyAlignment="1">
      <alignment horizontal="center" vertical="center" wrapText="1"/>
    </xf>
    <xf numFmtId="0" fontId="5" fillId="2" borderId="30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5" fillId="5" borderId="3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5" fillId="4" borderId="19" xfId="0" applyFont="1" applyFill="1" applyBorder="1" applyAlignment="1">
      <alignment horizontal="center" vertical="center" wrapText="1"/>
    </xf>
    <xf numFmtId="0" fontId="5" fillId="5" borderId="19" xfId="0" applyFont="1" applyFill="1" applyBorder="1" applyAlignment="1">
      <alignment horizontal="center" vertical="center" wrapText="1"/>
    </xf>
    <xf numFmtId="0" fontId="5" fillId="4" borderId="31" xfId="0" applyFont="1" applyFill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top" wrapText="1"/>
    </xf>
    <xf numFmtId="0" fontId="5" fillId="4" borderId="30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5" borderId="21" xfId="0" applyFont="1" applyFill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7" fillId="4" borderId="33" xfId="0" applyFont="1" applyFill="1" applyBorder="1" applyAlignment="1">
      <alignment horizontal="left" vertical="center" wrapText="1"/>
    </xf>
    <xf numFmtId="0" fontId="8" fillId="0" borderId="34" xfId="0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0" fontId="7" fillId="0" borderId="36" xfId="0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0" fontId="5" fillId="5" borderId="38" xfId="0" applyFont="1" applyFill="1" applyBorder="1" applyAlignment="1">
      <alignment horizontal="center" vertical="center" wrapText="1"/>
    </xf>
    <xf numFmtId="0" fontId="5" fillId="5" borderId="36" xfId="0" applyFont="1" applyFill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5" fillId="5" borderId="39" xfId="0" applyFont="1" applyFill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0" fillId="0" borderId="34" xfId="0" applyBorder="1"/>
    <xf numFmtId="0" fontId="5" fillId="4" borderId="39" xfId="0" applyFont="1" applyFill="1" applyBorder="1" applyAlignment="1">
      <alignment horizontal="center" vertical="center" wrapText="1"/>
    </xf>
    <xf numFmtId="0" fontId="7" fillId="0" borderId="42" xfId="0" applyFont="1" applyBorder="1" applyAlignment="1">
      <alignment horizontal="center" vertical="center" wrapText="1"/>
    </xf>
    <xf numFmtId="0" fontId="7" fillId="4" borderId="43" xfId="0" applyFont="1" applyFill="1" applyBorder="1" applyAlignment="1">
      <alignment horizontal="left" vertical="center" wrapText="1"/>
    </xf>
    <xf numFmtId="0" fontId="8" fillId="0" borderId="43" xfId="0" applyFont="1" applyBorder="1" applyAlignment="1">
      <alignment horizontal="center" vertical="center" wrapText="1"/>
    </xf>
    <xf numFmtId="0" fontId="7" fillId="0" borderId="41" xfId="0" quotePrefix="1" applyFont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0" fillId="0" borderId="0" xfId="0" applyFont="1"/>
    <xf numFmtId="0" fontId="7" fillId="0" borderId="0" xfId="0" applyFont="1" applyAlignment="1">
      <alignment horizontal="right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K28"/>
  <sheetViews>
    <sheetView topLeftCell="A13" zoomScale="90" zoomScaleNormal="90" workbookViewId="0">
      <selection activeCell="C23" sqref="C23"/>
    </sheetView>
  </sheetViews>
  <sheetFormatPr defaultRowHeight="15"/>
  <cols>
    <col min="2" max="2" width="35.140625" customWidth="1"/>
    <col min="3" max="3" width="24.28515625" customWidth="1"/>
    <col min="4" max="7" width="7.5703125" customWidth="1"/>
    <col min="8" max="11" width="8.7109375" customWidth="1"/>
  </cols>
  <sheetData>
    <row r="1" spans="2:11" ht="23.25" thickBot="1">
      <c r="B1" s="100" t="s">
        <v>86</v>
      </c>
      <c r="C1" s="101"/>
      <c r="D1" s="101"/>
      <c r="E1" s="101"/>
      <c r="F1" s="101"/>
      <c r="G1" s="101"/>
      <c r="H1" s="101"/>
      <c r="I1" s="101"/>
      <c r="J1" s="101"/>
      <c r="K1" s="102"/>
    </row>
    <row r="2" spans="2:11" ht="37.5" customHeight="1" thickBot="1">
      <c r="B2" s="103" t="s">
        <v>87</v>
      </c>
      <c r="C2" s="104"/>
      <c r="D2" s="105" t="s">
        <v>40</v>
      </c>
      <c r="E2" s="105"/>
      <c r="F2" s="105"/>
      <c r="G2" s="105"/>
      <c r="H2" s="105"/>
      <c r="I2" s="105"/>
      <c r="J2" s="105"/>
      <c r="K2" s="104"/>
    </row>
    <row r="3" spans="2:11" ht="19.5" thickBot="1">
      <c r="B3" s="3" t="s">
        <v>0</v>
      </c>
      <c r="C3" s="5" t="s">
        <v>1</v>
      </c>
      <c r="D3" s="48" t="s">
        <v>2</v>
      </c>
      <c r="E3" s="49" t="s">
        <v>3</v>
      </c>
      <c r="F3" s="49" t="s">
        <v>4</v>
      </c>
      <c r="G3" s="4" t="s">
        <v>5</v>
      </c>
      <c r="H3" s="50" t="s">
        <v>6</v>
      </c>
      <c r="I3" s="49" t="s">
        <v>7</v>
      </c>
      <c r="J3" s="49" t="s">
        <v>8</v>
      </c>
      <c r="K3" s="5" t="s">
        <v>9</v>
      </c>
    </row>
    <row r="4" spans="2:11" ht="39.950000000000003" customHeight="1">
      <c r="B4" s="16" t="s">
        <v>10</v>
      </c>
      <c r="C4" s="28" t="s">
        <v>11</v>
      </c>
      <c r="D4" s="40"/>
      <c r="E4" s="44" t="s">
        <v>12</v>
      </c>
      <c r="F4" s="44"/>
      <c r="G4" s="17"/>
      <c r="H4" s="35">
        <v>17</v>
      </c>
      <c r="I4" s="51">
        <v>34</v>
      </c>
      <c r="J4" s="57"/>
      <c r="K4" s="20"/>
    </row>
    <row r="5" spans="2:11" ht="39.950000000000003" customHeight="1">
      <c r="B5" s="21" t="s">
        <v>26</v>
      </c>
      <c r="C5" s="29" t="s">
        <v>13</v>
      </c>
      <c r="D5" s="41" t="s">
        <v>12</v>
      </c>
      <c r="E5" s="45"/>
      <c r="F5" s="45"/>
      <c r="G5" s="22"/>
      <c r="H5" s="36">
        <v>17</v>
      </c>
      <c r="I5" s="52">
        <v>17</v>
      </c>
      <c r="J5" s="52">
        <v>17</v>
      </c>
      <c r="K5" s="23"/>
    </row>
    <row r="6" spans="2:11" ht="39.950000000000003" customHeight="1">
      <c r="B6" s="21" t="s">
        <v>19</v>
      </c>
      <c r="C6" s="29" t="s">
        <v>20</v>
      </c>
      <c r="D6" s="41" t="s">
        <v>15</v>
      </c>
      <c r="E6" s="45"/>
      <c r="F6" s="45"/>
      <c r="G6" s="22"/>
      <c r="H6" s="36">
        <v>34</v>
      </c>
      <c r="I6" s="53">
        <v>17</v>
      </c>
      <c r="J6" s="52">
        <v>17</v>
      </c>
      <c r="K6" s="23"/>
    </row>
    <row r="7" spans="2:11" ht="39.950000000000003" customHeight="1">
      <c r="B7" s="21" t="s">
        <v>58</v>
      </c>
      <c r="C7" s="29" t="s">
        <v>59</v>
      </c>
      <c r="D7" s="41" t="s">
        <v>12</v>
      </c>
      <c r="E7" s="45"/>
      <c r="F7" s="45"/>
      <c r="G7" s="22"/>
      <c r="H7" s="70"/>
      <c r="I7" s="53">
        <v>17</v>
      </c>
      <c r="J7" s="54"/>
      <c r="K7" s="23"/>
    </row>
    <row r="8" spans="2:11" ht="39.950000000000003" customHeight="1">
      <c r="B8" s="21" t="s">
        <v>28</v>
      </c>
      <c r="C8" s="29" t="s">
        <v>16</v>
      </c>
      <c r="D8" s="41" t="s">
        <v>15</v>
      </c>
      <c r="E8" s="45"/>
      <c r="F8" s="45"/>
      <c r="G8" s="22"/>
      <c r="H8" s="36">
        <v>17</v>
      </c>
      <c r="I8" s="52">
        <v>17</v>
      </c>
      <c r="J8" s="58"/>
      <c r="K8" s="24"/>
    </row>
    <row r="9" spans="2:11" ht="39.950000000000003" customHeight="1">
      <c r="B9" s="21" t="s">
        <v>21</v>
      </c>
      <c r="C9" s="29" t="s">
        <v>62</v>
      </c>
      <c r="D9" s="41"/>
      <c r="E9" s="45" t="str">
        <f>+D5</f>
        <v>+</v>
      </c>
      <c r="F9" s="45"/>
      <c r="G9" s="22"/>
      <c r="H9" s="36" t="s">
        <v>63</v>
      </c>
      <c r="I9" s="54"/>
      <c r="J9" s="53" t="s">
        <v>64</v>
      </c>
      <c r="K9" s="23"/>
    </row>
    <row r="10" spans="2:11" ht="39.950000000000003" customHeight="1">
      <c r="B10" s="21" t="s">
        <v>29</v>
      </c>
      <c r="C10" s="29" t="s">
        <v>91</v>
      </c>
      <c r="D10" s="41" t="s">
        <v>12</v>
      </c>
      <c r="E10" s="45"/>
      <c r="F10" s="45"/>
      <c r="G10" s="22"/>
      <c r="H10" s="36">
        <v>17</v>
      </c>
      <c r="I10" s="52">
        <v>17</v>
      </c>
      <c r="J10" s="58"/>
      <c r="K10" s="23"/>
    </row>
    <row r="11" spans="2:11" ht="58.5" customHeight="1">
      <c r="B11" s="25" t="s">
        <v>27</v>
      </c>
      <c r="C11" s="30" t="s">
        <v>17</v>
      </c>
      <c r="D11" s="42" t="s">
        <v>12</v>
      </c>
      <c r="E11" s="46"/>
      <c r="F11" s="46"/>
      <c r="G11" s="18"/>
      <c r="H11" s="37"/>
      <c r="I11" s="55">
        <v>72</v>
      </c>
      <c r="J11" s="59"/>
      <c r="K11" s="19"/>
    </row>
    <row r="12" spans="2:11" ht="39.950000000000003" customHeight="1">
      <c r="B12" s="25" t="s">
        <v>30</v>
      </c>
      <c r="C12" s="31" t="s">
        <v>31</v>
      </c>
      <c r="D12" s="42"/>
      <c r="E12" s="46" t="s">
        <v>12</v>
      </c>
      <c r="F12" s="46"/>
      <c r="G12" s="18"/>
      <c r="H12" s="38">
        <v>17</v>
      </c>
      <c r="I12" s="55">
        <v>17</v>
      </c>
      <c r="J12" s="60">
        <v>17</v>
      </c>
      <c r="K12" s="19"/>
    </row>
    <row r="13" spans="2:11" ht="39.950000000000003" customHeight="1" thickBot="1">
      <c r="B13" s="9" t="s">
        <v>34</v>
      </c>
      <c r="C13" s="32" t="s">
        <v>35</v>
      </c>
      <c r="D13" s="43"/>
      <c r="E13" s="47" t="s">
        <v>12</v>
      </c>
      <c r="F13" s="47"/>
      <c r="G13" s="1"/>
      <c r="H13" s="39">
        <v>34</v>
      </c>
      <c r="I13" s="56">
        <v>34</v>
      </c>
      <c r="J13" s="61">
        <v>17</v>
      </c>
      <c r="K13" s="2"/>
    </row>
    <row r="14" spans="2:11" ht="23.25" customHeight="1" thickBot="1">
      <c r="B14" s="110"/>
      <c r="C14" s="110"/>
      <c r="D14" s="110"/>
      <c r="E14" s="110"/>
      <c r="F14" s="110"/>
      <c r="G14" s="110"/>
      <c r="H14" s="110"/>
      <c r="I14" s="110"/>
      <c r="J14" s="110"/>
      <c r="K14" s="110"/>
    </row>
    <row r="15" spans="2:11" ht="30.75" customHeight="1" thickBot="1">
      <c r="B15" s="106"/>
      <c r="C15" s="107"/>
      <c r="D15" s="108" t="s">
        <v>39</v>
      </c>
      <c r="E15" s="108"/>
      <c r="F15" s="108"/>
      <c r="G15" s="108"/>
      <c r="H15" s="108"/>
      <c r="I15" s="108"/>
      <c r="J15" s="108"/>
      <c r="K15" s="109"/>
    </row>
    <row r="16" spans="2:11" ht="19.5" thickBot="1">
      <c r="B16" s="6" t="s">
        <v>0</v>
      </c>
      <c r="C16" s="10" t="s">
        <v>1</v>
      </c>
      <c r="D16" s="62" t="s">
        <v>2</v>
      </c>
      <c r="E16" s="66" t="s">
        <v>3</v>
      </c>
      <c r="F16" s="66" t="s">
        <v>4</v>
      </c>
      <c r="G16" s="7" t="s">
        <v>5</v>
      </c>
      <c r="H16" s="73" t="s">
        <v>6</v>
      </c>
      <c r="I16" s="66" t="s">
        <v>7</v>
      </c>
      <c r="J16" s="66" t="s">
        <v>8</v>
      </c>
      <c r="K16" s="10" t="s">
        <v>9</v>
      </c>
    </row>
    <row r="17" spans="2:11" ht="39.950000000000003" customHeight="1">
      <c r="B17" s="16" t="s">
        <v>33</v>
      </c>
      <c r="C17" s="33" t="s">
        <v>18</v>
      </c>
      <c r="D17" s="63" t="s">
        <v>15</v>
      </c>
      <c r="E17" s="67"/>
      <c r="F17" s="67"/>
      <c r="G17" s="26"/>
      <c r="H17" s="35">
        <v>19</v>
      </c>
      <c r="I17" s="51">
        <v>19</v>
      </c>
      <c r="J17" s="57"/>
      <c r="K17" s="20"/>
    </row>
    <row r="18" spans="2:11" ht="39.950000000000003" customHeight="1">
      <c r="B18" s="21" t="s">
        <v>26</v>
      </c>
      <c r="C18" s="29" t="s">
        <v>13</v>
      </c>
      <c r="D18" s="64" t="str">
        <f>D17</f>
        <v>+*</v>
      </c>
      <c r="E18" s="68"/>
      <c r="F18" s="68"/>
      <c r="G18" s="27"/>
      <c r="H18" s="36">
        <v>19</v>
      </c>
      <c r="I18" s="52">
        <v>38</v>
      </c>
      <c r="J18" s="52">
        <v>19</v>
      </c>
      <c r="K18" s="23"/>
    </row>
    <row r="19" spans="2:11" ht="39.950000000000003" customHeight="1">
      <c r="B19" s="21" t="s">
        <v>34</v>
      </c>
      <c r="C19" s="34" t="s">
        <v>35</v>
      </c>
      <c r="D19" s="64"/>
      <c r="E19" s="68" t="s">
        <v>12</v>
      </c>
      <c r="F19" s="68"/>
      <c r="G19" s="27"/>
      <c r="H19" s="36">
        <v>38</v>
      </c>
      <c r="I19" s="52">
        <v>38</v>
      </c>
      <c r="J19" s="52">
        <v>19</v>
      </c>
      <c r="K19" s="23"/>
    </row>
    <row r="20" spans="2:11" ht="39.950000000000003" customHeight="1">
      <c r="B20" s="21" t="s">
        <v>36</v>
      </c>
      <c r="C20" s="34" t="s">
        <v>25</v>
      </c>
      <c r="D20" s="64" t="s">
        <v>12</v>
      </c>
      <c r="E20" s="68"/>
      <c r="F20" s="68"/>
      <c r="G20" s="27"/>
      <c r="H20" s="36">
        <v>19</v>
      </c>
      <c r="I20" s="54"/>
      <c r="J20" s="52">
        <v>19</v>
      </c>
      <c r="K20" s="23"/>
    </row>
    <row r="21" spans="2:11" ht="56.25" customHeight="1">
      <c r="B21" s="21" t="s">
        <v>27</v>
      </c>
      <c r="C21" s="29" t="s">
        <v>17</v>
      </c>
      <c r="D21" s="64"/>
      <c r="E21" s="68"/>
      <c r="F21" s="68"/>
      <c r="G21" s="27"/>
      <c r="H21" s="70"/>
      <c r="I21" s="52">
        <v>72</v>
      </c>
      <c r="J21" s="58"/>
      <c r="K21" s="23"/>
    </row>
    <row r="22" spans="2:11" ht="39.950000000000003" customHeight="1">
      <c r="B22" s="21" t="s">
        <v>58</v>
      </c>
      <c r="C22" s="29" t="s">
        <v>59</v>
      </c>
      <c r="D22" s="41"/>
      <c r="E22" s="45" t="s">
        <v>12</v>
      </c>
      <c r="F22" s="45"/>
      <c r="G22" s="22"/>
      <c r="H22" s="70"/>
      <c r="I22" s="53">
        <v>19</v>
      </c>
      <c r="J22" s="58"/>
      <c r="K22" s="23"/>
    </row>
    <row r="23" spans="2:11" ht="39.950000000000003" customHeight="1">
      <c r="B23" s="21" t="s">
        <v>29</v>
      </c>
      <c r="C23" s="29" t="s">
        <v>91</v>
      </c>
      <c r="D23" s="64" t="str">
        <f>D17</f>
        <v>+*</v>
      </c>
      <c r="E23" s="68"/>
      <c r="F23" s="68"/>
      <c r="G23" s="27"/>
      <c r="H23" s="71">
        <v>19</v>
      </c>
      <c r="I23" s="53">
        <v>19</v>
      </c>
      <c r="J23" s="54"/>
      <c r="K23" s="23"/>
    </row>
    <row r="24" spans="2:11" ht="39.950000000000003" customHeight="1">
      <c r="B24" s="21" t="s">
        <v>37</v>
      </c>
      <c r="C24" s="34" t="s">
        <v>38</v>
      </c>
      <c r="D24" s="64"/>
      <c r="E24" s="68" t="s">
        <v>12</v>
      </c>
      <c r="F24" s="68"/>
      <c r="G24" s="27"/>
      <c r="H24" s="36">
        <v>19</v>
      </c>
      <c r="I24" s="52">
        <v>19</v>
      </c>
      <c r="J24" s="53">
        <v>19</v>
      </c>
      <c r="K24" s="23"/>
    </row>
    <row r="25" spans="2:11" ht="39.950000000000003" customHeight="1">
      <c r="B25" s="21" t="s">
        <v>60</v>
      </c>
      <c r="C25" s="34" t="s">
        <v>61</v>
      </c>
      <c r="D25" s="64"/>
      <c r="E25" s="68" t="s">
        <v>12</v>
      </c>
      <c r="F25" s="68"/>
      <c r="G25" s="27"/>
      <c r="H25" s="36">
        <v>38</v>
      </c>
      <c r="I25" s="52">
        <v>19</v>
      </c>
      <c r="J25" s="54"/>
      <c r="K25" s="23"/>
    </row>
    <row r="26" spans="2:11" ht="39.950000000000003" customHeight="1" thickBot="1">
      <c r="B26" s="9" t="s">
        <v>32</v>
      </c>
      <c r="C26" s="32" t="s">
        <v>31</v>
      </c>
      <c r="D26" s="65" t="s">
        <v>12</v>
      </c>
      <c r="E26" s="69"/>
      <c r="F26" s="69"/>
      <c r="G26" s="8"/>
      <c r="H26" s="77">
        <v>19</v>
      </c>
      <c r="I26" s="72"/>
      <c r="J26" s="61">
        <v>19</v>
      </c>
      <c r="K26" s="2"/>
    </row>
    <row r="27" spans="2:11" ht="20.25" customHeight="1">
      <c r="B27" s="11"/>
      <c r="C27" s="12"/>
      <c r="D27" s="13"/>
      <c r="E27" s="13"/>
      <c r="F27" s="13"/>
      <c r="G27" s="13"/>
      <c r="H27" s="14"/>
      <c r="I27" s="14"/>
      <c r="J27" s="14"/>
      <c r="K27" s="15"/>
    </row>
    <row r="28" spans="2:11" ht="18.75">
      <c r="E28" s="99" t="s">
        <v>23</v>
      </c>
      <c r="F28" s="99"/>
      <c r="G28" s="99"/>
      <c r="H28" s="99"/>
      <c r="I28" s="99"/>
      <c r="J28" s="99"/>
      <c r="K28" s="99"/>
    </row>
  </sheetData>
  <mergeCells count="7">
    <mergeCell ref="E28:K28"/>
    <mergeCell ref="B1:K1"/>
    <mergeCell ref="B2:C2"/>
    <mergeCell ref="D2:K2"/>
    <mergeCell ref="B15:C15"/>
    <mergeCell ref="D15:K15"/>
    <mergeCell ref="B14:K14"/>
  </mergeCells>
  <pageMargins left="0.9055118110236221" right="0.31496062992125984" top="0.74803149606299213" bottom="0.74803149606299213" header="0.31496062992125984" footer="0.31496062992125984"/>
  <pageSetup paperSize="9" scale="70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9"/>
  <sheetViews>
    <sheetView topLeftCell="A13" zoomScale="80" zoomScaleNormal="80" workbookViewId="0">
      <selection activeCell="B27" sqref="B27"/>
    </sheetView>
  </sheetViews>
  <sheetFormatPr defaultRowHeight="15"/>
  <cols>
    <col min="2" max="2" width="34.28515625" customWidth="1"/>
    <col min="3" max="3" width="24.28515625" customWidth="1"/>
    <col min="4" max="7" width="7.5703125" customWidth="1"/>
    <col min="8" max="11" width="8.7109375" customWidth="1"/>
  </cols>
  <sheetData>
    <row r="1" spans="2:11" ht="23.25" thickBot="1">
      <c r="B1" s="100" t="s">
        <v>86</v>
      </c>
      <c r="C1" s="101"/>
      <c r="D1" s="101"/>
      <c r="E1" s="101"/>
      <c r="F1" s="101"/>
      <c r="G1" s="101"/>
      <c r="H1" s="101"/>
      <c r="I1" s="101"/>
      <c r="J1" s="101"/>
      <c r="K1" s="102"/>
    </row>
    <row r="2" spans="2:11" ht="37.5" customHeight="1" thickBot="1">
      <c r="B2" s="103" t="s">
        <v>90</v>
      </c>
      <c r="C2" s="104"/>
      <c r="D2" s="105" t="s">
        <v>40</v>
      </c>
      <c r="E2" s="105"/>
      <c r="F2" s="105"/>
      <c r="G2" s="105"/>
      <c r="H2" s="105"/>
      <c r="I2" s="105"/>
      <c r="J2" s="105"/>
      <c r="K2" s="104"/>
    </row>
    <row r="3" spans="2:11" ht="19.5" thickBot="1">
      <c r="B3" s="3" t="s">
        <v>0</v>
      </c>
      <c r="C3" s="5" t="s">
        <v>1</v>
      </c>
      <c r="D3" s="74" t="s">
        <v>2</v>
      </c>
      <c r="E3" s="74" t="s">
        <v>3</v>
      </c>
      <c r="F3" s="49" t="s">
        <v>4</v>
      </c>
      <c r="G3" s="4" t="s">
        <v>5</v>
      </c>
      <c r="H3" s="50" t="s">
        <v>6</v>
      </c>
      <c r="I3" s="49" t="s">
        <v>7</v>
      </c>
      <c r="J3" s="49" t="s">
        <v>8</v>
      </c>
      <c r="K3" s="5" t="s">
        <v>9</v>
      </c>
    </row>
    <row r="4" spans="2:11" ht="45.95" customHeight="1">
      <c r="B4" s="16" t="s">
        <v>10</v>
      </c>
      <c r="C4" s="28" t="s">
        <v>11</v>
      </c>
      <c r="D4" s="40"/>
      <c r="E4" s="44" t="s">
        <v>12</v>
      </c>
      <c r="F4" s="44"/>
      <c r="G4" s="17"/>
      <c r="H4" s="35">
        <v>17</v>
      </c>
      <c r="I4" s="51">
        <v>34</v>
      </c>
      <c r="J4" s="57"/>
      <c r="K4" s="20"/>
    </row>
    <row r="5" spans="2:11" ht="45.95" customHeight="1">
      <c r="B5" s="21" t="s">
        <v>26</v>
      </c>
      <c r="C5" s="29" t="s">
        <v>13</v>
      </c>
      <c r="D5" s="41"/>
      <c r="E5" s="45" t="s">
        <v>12</v>
      </c>
      <c r="F5" s="45"/>
      <c r="G5" s="22"/>
      <c r="H5" s="36">
        <v>17</v>
      </c>
      <c r="I5" s="52">
        <v>17</v>
      </c>
      <c r="J5" s="52">
        <v>17</v>
      </c>
      <c r="K5" s="23"/>
    </row>
    <row r="6" spans="2:11" ht="45.95" customHeight="1">
      <c r="B6" s="21" t="s">
        <v>19</v>
      </c>
      <c r="C6" s="29" t="s">
        <v>20</v>
      </c>
      <c r="D6" s="41" t="s">
        <v>15</v>
      </c>
      <c r="E6" s="45"/>
      <c r="F6" s="45"/>
      <c r="G6" s="22"/>
      <c r="H6" s="36">
        <v>34</v>
      </c>
      <c r="I6" s="53">
        <v>17</v>
      </c>
      <c r="J6" s="52">
        <v>17</v>
      </c>
      <c r="K6" s="23"/>
    </row>
    <row r="7" spans="2:11" ht="45.95" customHeight="1">
      <c r="B7" s="21" t="s">
        <v>58</v>
      </c>
      <c r="C7" s="29" t="s">
        <v>59</v>
      </c>
      <c r="D7" s="41" t="s">
        <v>12</v>
      </c>
      <c r="E7" s="45"/>
      <c r="F7" s="45"/>
      <c r="G7" s="22"/>
      <c r="H7" s="70"/>
      <c r="I7" s="53">
        <v>17</v>
      </c>
      <c r="J7" s="54"/>
      <c r="K7" s="23"/>
    </row>
    <row r="8" spans="2:11" ht="45.95" customHeight="1">
      <c r="B8" s="21" t="s">
        <v>28</v>
      </c>
      <c r="C8" s="29" t="s">
        <v>16</v>
      </c>
      <c r="D8" s="41" t="s">
        <v>15</v>
      </c>
      <c r="E8" s="45"/>
      <c r="F8" s="45"/>
      <c r="G8" s="22"/>
      <c r="H8" s="36">
        <v>17</v>
      </c>
      <c r="I8" s="52">
        <v>17</v>
      </c>
      <c r="J8" s="58"/>
      <c r="K8" s="24"/>
    </row>
    <row r="9" spans="2:11" ht="45.95" customHeight="1">
      <c r="B9" s="21" t="s">
        <v>21</v>
      </c>
      <c r="C9" s="29" t="s">
        <v>62</v>
      </c>
      <c r="D9" s="41"/>
      <c r="E9" s="45" t="s">
        <v>12</v>
      </c>
      <c r="F9" s="45"/>
      <c r="G9" s="22"/>
      <c r="H9" s="36" t="s">
        <v>63</v>
      </c>
      <c r="I9" s="54"/>
      <c r="J9" s="53" t="s">
        <v>64</v>
      </c>
      <c r="K9" s="23"/>
    </row>
    <row r="10" spans="2:11" ht="45.95" customHeight="1">
      <c r="B10" s="21" t="s">
        <v>29</v>
      </c>
      <c r="C10" s="29" t="s">
        <v>91</v>
      </c>
      <c r="D10" s="41" t="s">
        <v>12</v>
      </c>
      <c r="E10" s="45"/>
      <c r="F10" s="45"/>
      <c r="G10" s="22"/>
      <c r="H10" s="36">
        <v>17</v>
      </c>
      <c r="I10" s="52">
        <v>17</v>
      </c>
      <c r="J10" s="58"/>
      <c r="K10" s="23"/>
    </row>
    <row r="11" spans="2:11" ht="45.95" customHeight="1">
      <c r="B11" s="25" t="s">
        <v>27</v>
      </c>
      <c r="C11" s="30" t="s">
        <v>17</v>
      </c>
      <c r="D11" s="42" t="s">
        <v>12</v>
      </c>
      <c r="E11" s="46"/>
      <c r="F11" s="46"/>
      <c r="G11" s="18"/>
      <c r="H11" s="37"/>
      <c r="I11" s="55">
        <v>76</v>
      </c>
      <c r="J11" s="59"/>
      <c r="K11" s="19"/>
    </row>
    <row r="12" spans="2:11" ht="45.95" customHeight="1">
      <c r="B12" s="25" t="s">
        <v>30</v>
      </c>
      <c r="C12" s="31" t="s">
        <v>31</v>
      </c>
      <c r="D12" s="42"/>
      <c r="E12" s="46" t="s">
        <v>12</v>
      </c>
      <c r="F12" s="46"/>
      <c r="G12" s="18"/>
      <c r="H12" s="38">
        <v>17</v>
      </c>
      <c r="I12" s="55">
        <v>17</v>
      </c>
      <c r="J12" s="60" t="s">
        <v>79</v>
      </c>
      <c r="K12" s="19"/>
    </row>
    <row r="13" spans="2:11" ht="45.95" customHeight="1">
      <c r="B13" s="21" t="s">
        <v>66</v>
      </c>
      <c r="C13" s="78" t="s">
        <v>67</v>
      </c>
      <c r="D13" s="41" t="s">
        <v>12</v>
      </c>
      <c r="E13" s="45"/>
      <c r="F13" s="45"/>
      <c r="G13" s="22"/>
      <c r="H13" s="36">
        <v>34</v>
      </c>
      <c r="I13" s="52">
        <v>17</v>
      </c>
      <c r="J13" s="53">
        <v>17</v>
      </c>
      <c r="K13" s="23"/>
    </row>
    <row r="14" spans="2:11" ht="39.950000000000003" customHeight="1" thickBot="1">
      <c r="B14" s="9" t="s">
        <v>65</v>
      </c>
      <c r="C14" s="32" t="s">
        <v>41</v>
      </c>
      <c r="D14" s="43" t="s">
        <v>12</v>
      </c>
      <c r="E14" s="47"/>
      <c r="F14" s="47"/>
      <c r="G14" s="1"/>
      <c r="H14" s="39">
        <v>17</v>
      </c>
      <c r="I14" s="56">
        <v>17</v>
      </c>
      <c r="J14" s="72"/>
      <c r="K14" s="2"/>
    </row>
    <row r="15" spans="2:11" ht="19.5" customHeight="1" thickBot="1">
      <c r="B15" s="110"/>
      <c r="C15" s="110"/>
      <c r="D15" s="110"/>
      <c r="E15" s="110"/>
      <c r="F15" s="110"/>
      <c r="G15" s="110"/>
      <c r="H15" s="110"/>
      <c r="I15" s="110"/>
      <c r="J15" s="110"/>
      <c r="K15" s="110"/>
    </row>
    <row r="16" spans="2:11" ht="20.25" customHeight="1" thickBot="1">
      <c r="B16" s="106"/>
      <c r="C16" s="107"/>
      <c r="D16" s="108" t="s">
        <v>39</v>
      </c>
      <c r="E16" s="108"/>
      <c r="F16" s="108"/>
      <c r="G16" s="108"/>
      <c r="H16" s="108"/>
      <c r="I16" s="108"/>
      <c r="J16" s="108"/>
      <c r="K16" s="109"/>
    </row>
    <row r="17" spans="1:11" ht="19.5" customHeight="1" thickBot="1">
      <c r="B17" s="6" t="s">
        <v>0</v>
      </c>
      <c r="C17" s="76" t="s">
        <v>1</v>
      </c>
      <c r="D17" s="62" t="s">
        <v>2</v>
      </c>
      <c r="E17" s="66" t="s">
        <v>3</v>
      </c>
      <c r="F17" s="66" t="s">
        <v>4</v>
      </c>
      <c r="G17" s="7" t="s">
        <v>5</v>
      </c>
      <c r="H17" s="73" t="s">
        <v>6</v>
      </c>
      <c r="I17" s="66" t="s">
        <v>7</v>
      </c>
      <c r="J17" s="66" t="s">
        <v>8</v>
      </c>
      <c r="K17" s="76" t="s">
        <v>9</v>
      </c>
    </row>
    <row r="18" spans="1:11" ht="45.95" customHeight="1">
      <c r="B18" s="16" t="s">
        <v>33</v>
      </c>
      <c r="C18" s="33" t="s">
        <v>18</v>
      </c>
      <c r="D18" s="63" t="s">
        <v>12</v>
      </c>
      <c r="E18" s="67"/>
      <c r="F18" s="67"/>
      <c r="G18" s="26"/>
      <c r="H18" s="35">
        <v>19</v>
      </c>
      <c r="I18" s="51">
        <v>19</v>
      </c>
      <c r="J18" s="57"/>
      <c r="K18" s="20"/>
    </row>
    <row r="19" spans="1:11" ht="45.95" customHeight="1">
      <c r="B19" s="21" t="s">
        <v>66</v>
      </c>
      <c r="C19" s="78" t="s">
        <v>67</v>
      </c>
      <c r="D19" s="41" t="str">
        <f>D18</f>
        <v>+</v>
      </c>
      <c r="E19" s="45"/>
      <c r="F19" s="45"/>
      <c r="G19" s="22"/>
      <c r="H19" s="36">
        <v>19</v>
      </c>
      <c r="I19" s="52">
        <v>19</v>
      </c>
      <c r="J19" s="53">
        <v>19</v>
      </c>
      <c r="K19" s="23"/>
    </row>
    <row r="20" spans="1:11" ht="45.95" customHeight="1">
      <c r="B20" s="21" t="s">
        <v>36</v>
      </c>
      <c r="C20" s="34" t="s">
        <v>25</v>
      </c>
      <c r="D20" s="64" t="s">
        <v>12</v>
      </c>
      <c r="E20" s="68"/>
      <c r="F20" s="68"/>
      <c r="G20" s="27"/>
      <c r="H20" s="36">
        <v>19</v>
      </c>
      <c r="I20" s="54"/>
      <c r="J20" s="52" t="s">
        <v>81</v>
      </c>
      <c r="K20" s="23"/>
    </row>
    <row r="21" spans="1:11" ht="56.25" customHeight="1">
      <c r="B21" s="21" t="s">
        <v>27</v>
      </c>
      <c r="C21" s="29" t="s">
        <v>17</v>
      </c>
      <c r="D21" s="64"/>
      <c r="E21" s="68"/>
      <c r="F21" s="68"/>
      <c r="G21" s="27"/>
      <c r="H21" s="70"/>
      <c r="I21" s="52">
        <v>72</v>
      </c>
      <c r="J21" s="58"/>
      <c r="K21" s="23"/>
    </row>
    <row r="22" spans="1:11" ht="45.95" customHeight="1">
      <c r="B22" s="21" t="s">
        <v>58</v>
      </c>
      <c r="C22" s="29" t="s">
        <v>59</v>
      </c>
      <c r="D22" s="41"/>
      <c r="E22" s="45" t="s">
        <v>12</v>
      </c>
      <c r="F22" s="45"/>
      <c r="G22" s="22"/>
      <c r="H22" s="70"/>
      <c r="I22" s="53">
        <v>19</v>
      </c>
      <c r="J22" s="58"/>
      <c r="K22" s="23"/>
    </row>
    <row r="23" spans="1:11" ht="45.95" customHeight="1">
      <c r="B23" s="21" t="s">
        <v>29</v>
      </c>
      <c r="C23" s="29" t="s">
        <v>91</v>
      </c>
      <c r="D23" s="64" t="str">
        <f>D18</f>
        <v>+</v>
      </c>
      <c r="E23" s="68"/>
      <c r="F23" s="68"/>
      <c r="G23" s="27"/>
      <c r="H23" s="71">
        <v>19</v>
      </c>
      <c r="I23" s="53">
        <v>19</v>
      </c>
      <c r="J23" s="54"/>
      <c r="K23" s="23"/>
    </row>
    <row r="24" spans="1:11" ht="45.95" customHeight="1">
      <c r="B24" s="21" t="s">
        <v>37</v>
      </c>
      <c r="C24" s="34" t="s">
        <v>38</v>
      </c>
      <c r="D24" s="64"/>
      <c r="E24" s="68" t="s">
        <v>12</v>
      </c>
      <c r="F24" s="68"/>
      <c r="G24" s="27"/>
      <c r="H24" s="36">
        <v>19</v>
      </c>
      <c r="I24" s="52">
        <v>19</v>
      </c>
      <c r="J24" s="53">
        <v>19</v>
      </c>
      <c r="K24" s="23"/>
    </row>
    <row r="25" spans="1:11" ht="39.950000000000003" customHeight="1">
      <c r="B25" s="21" t="s">
        <v>68</v>
      </c>
      <c r="C25" s="34" t="s">
        <v>69</v>
      </c>
      <c r="D25" s="64"/>
      <c r="E25" s="68" t="s">
        <v>12</v>
      </c>
      <c r="F25" s="68"/>
      <c r="G25" s="27"/>
      <c r="H25" s="36" t="s">
        <v>96</v>
      </c>
      <c r="I25" s="52" t="s">
        <v>70</v>
      </c>
      <c r="J25" s="54"/>
      <c r="K25" s="23"/>
    </row>
    <row r="26" spans="1:11" ht="39.950000000000003" customHeight="1">
      <c r="B26" s="79" t="s">
        <v>32</v>
      </c>
      <c r="C26" s="80" t="s">
        <v>31</v>
      </c>
      <c r="D26" s="81"/>
      <c r="E26" s="82" t="s">
        <v>12</v>
      </c>
      <c r="F26" s="82"/>
      <c r="G26" s="83"/>
      <c r="H26" s="84">
        <v>19</v>
      </c>
      <c r="I26" s="85">
        <v>19</v>
      </c>
      <c r="J26" s="85">
        <v>19</v>
      </c>
      <c r="K26" s="86"/>
    </row>
    <row r="27" spans="1:11" ht="39.950000000000003" customHeight="1" thickBot="1">
      <c r="A27" s="90"/>
      <c r="B27" s="93" t="s">
        <v>97</v>
      </c>
      <c r="C27" s="94" t="s">
        <v>98</v>
      </c>
      <c r="D27" s="95" t="s">
        <v>15</v>
      </c>
      <c r="E27" s="87"/>
      <c r="F27" s="87"/>
      <c r="G27" s="92"/>
      <c r="H27" s="96">
        <v>19</v>
      </c>
      <c r="I27" s="88">
        <v>19</v>
      </c>
      <c r="J27" s="91"/>
      <c r="K27" s="89"/>
    </row>
    <row r="28" spans="1:11" ht="22.5">
      <c r="B28" s="11"/>
      <c r="C28" s="12"/>
      <c r="D28" s="13"/>
      <c r="E28" s="13"/>
      <c r="F28" s="13"/>
      <c r="G28" s="13"/>
      <c r="H28" s="14"/>
      <c r="I28" s="14"/>
      <c r="J28" s="14"/>
      <c r="K28" s="15"/>
    </row>
    <row r="29" spans="1:11" ht="18.75">
      <c r="E29" s="99" t="s">
        <v>23</v>
      </c>
      <c r="F29" s="99"/>
      <c r="G29" s="99"/>
      <c r="H29" s="99"/>
      <c r="I29" s="99"/>
      <c r="J29" s="99"/>
      <c r="K29" s="99"/>
    </row>
  </sheetData>
  <mergeCells count="7">
    <mergeCell ref="E29:K29"/>
    <mergeCell ref="B1:K1"/>
    <mergeCell ref="B2:C2"/>
    <mergeCell ref="D2:K2"/>
    <mergeCell ref="B15:K15"/>
    <mergeCell ref="B16:C16"/>
    <mergeCell ref="D16:K16"/>
  </mergeCells>
  <pageMargins left="0.9055118110236221" right="0.31496062992125984" top="0.74803149606299213" bottom="0.74803149606299213" header="0.31496062992125984" footer="0.31496062992125984"/>
  <pageSetup paperSize="9" scale="70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O25"/>
  <sheetViews>
    <sheetView topLeftCell="A4" zoomScale="80" zoomScaleNormal="80" workbookViewId="0">
      <selection activeCell="B12" sqref="B12"/>
    </sheetView>
  </sheetViews>
  <sheetFormatPr defaultRowHeight="15"/>
  <cols>
    <col min="2" max="2" width="33.5703125" customWidth="1"/>
    <col min="3" max="3" width="24.42578125" customWidth="1"/>
    <col min="4" max="7" width="7.5703125" customWidth="1"/>
    <col min="8" max="9" width="8.7109375" customWidth="1"/>
    <col min="10" max="10" width="9.140625" customWidth="1"/>
    <col min="11" max="11" width="8.7109375" customWidth="1"/>
  </cols>
  <sheetData>
    <row r="1" spans="2:11" ht="23.25" thickBot="1">
      <c r="B1" s="100" t="s">
        <v>86</v>
      </c>
      <c r="C1" s="101"/>
      <c r="D1" s="101"/>
      <c r="E1" s="101"/>
      <c r="F1" s="101"/>
      <c r="G1" s="101"/>
      <c r="H1" s="101"/>
      <c r="I1" s="101"/>
      <c r="J1" s="101"/>
      <c r="K1" s="102"/>
    </row>
    <row r="2" spans="2:11" ht="37.5" customHeight="1" thickBot="1">
      <c r="B2" s="103" t="s">
        <v>88</v>
      </c>
      <c r="C2" s="104"/>
      <c r="D2" s="105" t="s">
        <v>40</v>
      </c>
      <c r="E2" s="105"/>
      <c r="F2" s="105"/>
      <c r="G2" s="105"/>
      <c r="H2" s="105"/>
      <c r="I2" s="105"/>
      <c r="J2" s="105"/>
      <c r="K2" s="104"/>
    </row>
    <row r="3" spans="2:11" ht="19.5" thickBot="1">
      <c r="B3" s="3" t="s">
        <v>0</v>
      </c>
      <c r="C3" s="5" t="s">
        <v>1</v>
      </c>
      <c r="D3" s="74" t="s">
        <v>2</v>
      </c>
      <c r="E3" s="49" t="s">
        <v>3</v>
      </c>
      <c r="F3" s="49" t="s">
        <v>4</v>
      </c>
      <c r="G3" s="4" t="s">
        <v>5</v>
      </c>
      <c r="H3" s="50" t="s">
        <v>6</v>
      </c>
      <c r="I3" s="49" t="s">
        <v>7</v>
      </c>
      <c r="J3" s="49" t="s">
        <v>8</v>
      </c>
      <c r="K3" s="5" t="s">
        <v>9</v>
      </c>
    </row>
    <row r="4" spans="2:11" ht="39.950000000000003" customHeight="1">
      <c r="B4" s="16" t="s">
        <v>10</v>
      </c>
      <c r="C4" s="28" t="s">
        <v>11</v>
      </c>
      <c r="D4" s="40"/>
      <c r="E4" s="44" t="s">
        <v>12</v>
      </c>
      <c r="F4" s="44"/>
      <c r="G4" s="17"/>
      <c r="H4" s="35">
        <v>17</v>
      </c>
      <c r="I4" s="51">
        <v>34</v>
      </c>
      <c r="J4" s="57"/>
      <c r="K4" s="20"/>
    </row>
    <row r="5" spans="2:11" ht="39.950000000000003" customHeight="1">
      <c r="B5" s="21" t="s">
        <v>42</v>
      </c>
      <c r="C5" s="29" t="s">
        <v>43</v>
      </c>
      <c r="D5" s="41"/>
      <c r="E5" s="45" t="s">
        <v>12</v>
      </c>
      <c r="F5" s="45"/>
      <c r="G5" s="22"/>
      <c r="H5" s="36">
        <v>34</v>
      </c>
      <c r="I5" s="52">
        <v>34</v>
      </c>
      <c r="J5" s="52">
        <v>17</v>
      </c>
      <c r="K5" s="23"/>
    </row>
    <row r="6" spans="2:11" ht="39.950000000000003" customHeight="1">
      <c r="B6" s="21" t="s">
        <v>19</v>
      </c>
      <c r="C6" s="29" t="s">
        <v>20</v>
      </c>
      <c r="D6" s="41" t="s">
        <v>15</v>
      </c>
      <c r="E6" s="45"/>
      <c r="F6" s="45"/>
      <c r="G6" s="22"/>
      <c r="H6" s="36">
        <v>34</v>
      </c>
      <c r="I6" s="53">
        <v>17</v>
      </c>
      <c r="J6" s="52">
        <v>17</v>
      </c>
      <c r="K6" s="23"/>
    </row>
    <row r="7" spans="2:11" ht="39.950000000000003" customHeight="1">
      <c r="B7" s="21" t="s">
        <v>58</v>
      </c>
      <c r="C7" s="29" t="s">
        <v>59</v>
      </c>
      <c r="D7" s="41" t="s">
        <v>12</v>
      </c>
      <c r="E7" s="45"/>
      <c r="F7" s="45"/>
      <c r="G7" s="22"/>
      <c r="H7" s="70"/>
      <c r="I7" s="53">
        <v>17</v>
      </c>
      <c r="J7" s="54"/>
      <c r="K7" s="23"/>
    </row>
    <row r="8" spans="2:11" ht="39.950000000000003" customHeight="1">
      <c r="B8" s="21" t="s">
        <v>28</v>
      </c>
      <c r="C8" s="29" t="s">
        <v>16</v>
      </c>
      <c r="D8" s="41" t="s">
        <v>15</v>
      </c>
      <c r="E8" s="45"/>
      <c r="F8" s="45"/>
      <c r="G8" s="22"/>
      <c r="H8" s="36">
        <v>17</v>
      </c>
      <c r="I8" s="52">
        <v>17</v>
      </c>
      <c r="J8" s="58"/>
      <c r="K8" s="24"/>
    </row>
    <row r="9" spans="2:11" ht="39.950000000000003" customHeight="1">
      <c r="B9" s="21" t="s">
        <v>21</v>
      </c>
      <c r="C9" s="29" t="s">
        <v>22</v>
      </c>
      <c r="D9" s="41"/>
      <c r="E9" s="45" t="s">
        <v>12</v>
      </c>
      <c r="F9" s="45"/>
      <c r="G9" s="22"/>
      <c r="H9" s="36">
        <v>17</v>
      </c>
      <c r="I9" s="54"/>
      <c r="J9" s="53" t="s">
        <v>80</v>
      </c>
      <c r="K9" s="23"/>
    </row>
    <row r="10" spans="2:11" ht="39.950000000000003" customHeight="1">
      <c r="B10" s="21" t="s">
        <v>29</v>
      </c>
      <c r="C10" s="29" t="s">
        <v>91</v>
      </c>
      <c r="D10" s="41" t="str">
        <f>D8</f>
        <v>+*</v>
      </c>
      <c r="E10" s="45"/>
      <c r="F10" s="45"/>
      <c r="G10" s="22"/>
      <c r="H10" s="36">
        <v>17</v>
      </c>
      <c r="I10" s="52">
        <v>17</v>
      </c>
      <c r="J10" s="58"/>
      <c r="K10" s="23"/>
    </row>
    <row r="11" spans="2:11" ht="56.25" customHeight="1">
      <c r="B11" s="25" t="s">
        <v>27</v>
      </c>
      <c r="C11" s="30" t="s">
        <v>17</v>
      </c>
      <c r="D11" s="42" t="s">
        <v>12</v>
      </c>
      <c r="E11" s="46"/>
      <c r="F11" s="46"/>
      <c r="G11" s="18"/>
      <c r="H11" s="37"/>
      <c r="I11" s="55">
        <v>72</v>
      </c>
      <c r="J11" s="59"/>
      <c r="K11" s="19"/>
    </row>
    <row r="12" spans="2:11" ht="63" customHeight="1" thickBot="1">
      <c r="B12" s="25" t="s">
        <v>44</v>
      </c>
      <c r="C12" s="31" t="s">
        <v>43</v>
      </c>
      <c r="D12" s="42"/>
      <c r="E12" s="46" t="s">
        <v>12</v>
      </c>
      <c r="F12" s="46"/>
      <c r="G12" s="18"/>
      <c r="H12" s="38">
        <v>17</v>
      </c>
      <c r="I12" s="55">
        <v>17</v>
      </c>
      <c r="J12" s="60" t="s">
        <v>79</v>
      </c>
      <c r="K12" s="19"/>
    </row>
    <row r="13" spans="2:11" ht="15.75" thickBot="1">
      <c r="B13" s="110"/>
      <c r="C13" s="110"/>
      <c r="D13" s="110"/>
      <c r="E13" s="110"/>
      <c r="F13" s="110"/>
      <c r="G13" s="110"/>
      <c r="H13" s="110"/>
      <c r="I13" s="110"/>
      <c r="J13" s="110"/>
      <c r="K13" s="110"/>
    </row>
    <row r="14" spans="2:11" ht="45.95" customHeight="1" thickBot="1">
      <c r="B14" s="106"/>
      <c r="C14" s="107"/>
      <c r="D14" s="108" t="s">
        <v>39</v>
      </c>
      <c r="E14" s="108"/>
      <c r="F14" s="108"/>
      <c r="G14" s="108"/>
      <c r="H14" s="108"/>
      <c r="I14" s="108"/>
      <c r="J14" s="108"/>
      <c r="K14" s="109"/>
    </row>
    <row r="15" spans="2:11" ht="19.5" customHeight="1" thickBot="1">
      <c r="B15" s="6" t="s">
        <v>0</v>
      </c>
      <c r="C15" s="76" t="s">
        <v>1</v>
      </c>
      <c r="D15" s="62" t="s">
        <v>2</v>
      </c>
      <c r="E15" s="66" t="s">
        <v>3</v>
      </c>
      <c r="F15" s="66" t="s">
        <v>4</v>
      </c>
      <c r="G15" s="7" t="s">
        <v>5</v>
      </c>
      <c r="H15" s="73" t="s">
        <v>6</v>
      </c>
      <c r="I15" s="66" t="s">
        <v>7</v>
      </c>
      <c r="J15" s="66" t="s">
        <v>8</v>
      </c>
      <c r="K15" s="76" t="s">
        <v>9</v>
      </c>
    </row>
    <row r="16" spans="2:11" ht="39.950000000000003" customHeight="1">
      <c r="B16" s="16" t="s">
        <v>33</v>
      </c>
      <c r="C16" s="33" t="s">
        <v>18</v>
      </c>
      <c r="D16" s="63" t="s">
        <v>15</v>
      </c>
      <c r="E16" s="67"/>
      <c r="F16" s="67"/>
      <c r="G16" s="26"/>
      <c r="H16" s="35">
        <v>19</v>
      </c>
      <c r="I16" s="51">
        <v>19</v>
      </c>
      <c r="J16" s="57"/>
      <c r="K16" s="20"/>
    </row>
    <row r="17" spans="2:15" ht="39.950000000000003" customHeight="1">
      <c r="B17" s="21" t="s">
        <v>71</v>
      </c>
      <c r="C17" s="29" t="s">
        <v>99</v>
      </c>
      <c r="D17" s="64"/>
      <c r="E17" s="68" t="s">
        <v>12</v>
      </c>
      <c r="F17" s="68"/>
      <c r="G17" s="97">
        <v>1</v>
      </c>
      <c r="H17" s="36">
        <v>38</v>
      </c>
      <c r="I17" s="52">
        <v>38</v>
      </c>
      <c r="J17" s="52" t="s">
        <v>81</v>
      </c>
      <c r="K17" s="23"/>
    </row>
    <row r="18" spans="2:15" ht="39.950000000000003" customHeight="1">
      <c r="B18" s="21" t="s">
        <v>72</v>
      </c>
      <c r="C18" s="34" t="s">
        <v>100</v>
      </c>
      <c r="D18" s="64"/>
      <c r="E18" s="68" t="s">
        <v>12</v>
      </c>
      <c r="F18" s="68"/>
      <c r="G18" s="27"/>
      <c r="H18" s="36">
        <v>38</v>
      </c>
      <c r="I18" s="52">
        <v>38</v>
      </c>
      <c r="J18" s="52" t="s">
        <v>81</v>
      </c>
      <c r="K18" s="23"/>
    </row>
    <row r="19" spans="2:15" ht="39.950000000000003" customHeight="1">
      <c r="B19" s="21" t="s">
        <v>36</v>
      </c>
      <c r="C19" s="34" t="s">
        <v>25</v>
      </c>
      <c r="D19" s="64" t="s">
        <v>12</v>
      </c>
      <c r="E19" s="68"/>
      <c r="F19" s="68"/>
      <c r="G19" s="27"/>
      <c r="H19" s="36">
        <v>19</v>
      </c>
      <c r="I19" s="54"/>
      <c r="J19" s="52">
        <v>19</v>
      </c>
      <c r="K19" s="23"/>
    </row>
    <row r="20" spans="2:15" ht="54.75" customHeight="1">
      <c r="B20" s="21" t="s">
        <v>27</v>
      </c>
      <c r="C20" s="29" t="s">
        <v>17</v>
      </c>
      <c r="D20" s="64"/>
      <c r="E20" s="68"/>
      <c r="F20" s="68"/>
      <c r="G20" s="27"/>
      <c r="H20" s="70"/>
      <c r="I20" s="52">
        <v>72</v>
      </c>
      <c r="J20" s="58"/>
      <c r="K20" s="23"/>
      <c r="O20" s="98"/>
    </row>
    <row r="21" spans="2:15" ht="39.950000000000003" customHeight="1">
      <c r="B21" s="21" t="s">
        <v>58</v>
      </c>
      <c r="C21" s="29" t="s">
        <v>59</v>
      </c>
      <c r="D21" s="41"/>
      <c r="E21" s="45" t="s">
        <v>12</v>
      </c>
      <c r="F21" s="45"/>
      <c r="G21" s="22"/>
      <c r="H21" s="70"/>
      <c r="I21" s="53">
        <v>19</v>
      </c>
      <c r="J21" s="58"/>
      <c r="K21" s="23"/>
    </row>
    <row r="22" spans="2:15" ht="39.950000000000003" customHeight="1">
      <c r="B22" s="21" t="s">
        <v>73</v>
      </c>
      <c r="C22" s="29" t="s">
        <v>74</v>
      </c>
      <c r="D22" s="64" t="s">
        <v>12</v>
      </c>
      <c r="E22" s="68"/>
      <c r="F22" s="68"/>
      <c r="G22" s="27"/>
      <c r="H22" s="71" t="s">
        <v>75</v>
      </c>
      <c r="I22" s="53" t="s">
        <v>101</v>
      </c>
      <c r="J22" s="53" t="s">
        <v>102</v>
      </c>
      <c r="K22" s="23"/>
    </row>
    <row r="23" spans="2:15" ht="39.950000000000003" customHeight="1">
      <c r="B23" s="21" t="s">
        <v>37</v>
      </c>
      <c r="C23" s="34" t="s">
        <v>38</v>
      </c>
      <c r="D23" s="64"/>
      <c r="E23" s="68" t="s">
        <v>12</v>
      </c>
      <c r="F23" s="68"/>
      <c r="G23" s="27"/>
      <c r="H23" s="36">
        <v>19</v>
      </c>
      <c r="I23" s="52">
        <v>19</v>
      </c>
      <c r="J23" s="53" t="s">
        <v>81</v>
      </c>
      <c r="K23" s="23"/>
    </row>
    <row r="24" spans="2:15" ht="22.5">
      <c r="B24" s="11"/>
      <c r="C24" s="12"/>
      <c r="D24" s="13"/>
      <c r="E24" s="13"/>
      <c r="F24" s="13"/>
      <c r="G24" s="13"/>
      <c r="H24" s="14"/>
      <c r="I24" s="14"/>
      <c r="J24" s="14"/>
      <c r="K24" s="15"/>
    </row>
    <row r="25" spans="2:15" ht="18.75">
      <c r="E25" s="99" t="s">
        <v>23</v>
      </c>
      <c r="F25" s="99"/>
      <c r="G25" s="99"/>
      <c r="H25" s="99"/>
      <c r="I25" s="99"/>
      <c r="J25" s="99"/>
      <c r="K25" s="99"/>
    </row>
  </sheetData>
  <mergeCells count="7">
    <mergeCell ref="E25:K25"/>
    <mergeCell ref="B1:K1"/>
    <mergeCell ref="B2:C2"/>
    <mergeCell ref="D2:K2"/>
    <mergeCell ref="B13:K13"/>
    <mergeCell ref="B14:C14"/>
    <mergeCell ref="D14:K14"/>
  </mergeCells>
  <pageMargins left="0.9055118110236221" right="0.31496062992125984" top="0.74803149606299213" bottom="0.74803149606299213" header="0.31496062992125984" footer="0.31496062992125984"/>
  <pageSetup paperSize="9" scale="70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B1:K28"/>
  <sheetViews>
    <sheetView topLeftCell="A7" zoomScale="80" zoomScaleNormal="80" workbookViewId="0">
      <selection activeCell="B13" sqref="B13"/>
    </sheetView>
  </sheetViews>
  <sheetFormatPr defaultRowHeight="15"/>
  <cols>
    <col min="2" max="2" width="33.5703125" customWidth="1"/>
    <col min="3" max="3" width="24.42578125" customWidth="1"/>
    <col min="4" max="7" width="7.5703125" customWidth="1"/>
    <col min="8" max="11" width="8.7109375" customWidth="1"/>
  </cols>
  <sheetData>
    <row r="1" spans="2:11" ht="23.25" thickBot="1">
      <c r="B1" s="100" t="s">
        <v>86</v>
      </c>
      <c r="C1" s="101"/>
      <c r="D1" s="101"/>
      <c r="E1" s="101"/>
      <c r="F1" s="101"/>
      <c r="G1" s="101"/>
      <c r="H1" s="101"/>
      <c r="I1" s="101"/>
      <c r="J1" s="101"/>
      <c r="K1" s="102"/>
    </row>
    <row r="2" spans="2:11" ht="37.5" customHeight="1" thickBot="1">
      <c r="B2" s="103" t="s">
        <v>89</v>
      </c>
      <c r="C2" s="104"/>
      <c r="D2" s="105" t="s">
        <v>40</v>
      </c>
      <c r="E2" s="105"/>
      <c r="F2" s="105"/>
      <c r="G2" s="105"/>
      <c r="H2" s="105"/>
      <c r="I2" s="105"/>
      <c r="J2" s="105"/>
      <c r="K2" s="104"/>
    </row>
    <row r="3" spans="2:11" ht="19.5" thickBot="1">
      <c r="B3" s="3" t="s">
        <v>0</v>
      </c>
      <c r="C3" s="5" t="s">
        <v>1</v>
      </c>
      <c r="D3" s="74" t="s">
        <v>2</v>
      </c>
      <c r="E3" s="49" t="s">
        <v>3</v>
      </c>
      <c r="F3" s="49" t="s">
        <v>4</v>
      </c>
      <c r="G3" s="4" t="s">
        <v>5</v>
      </c>
      <c r="H3" s="50" t="s">
        <v>6</v>
      </c>
      <c r="I3" s="49" t="s">
        <v>7</v>
      </c>
      <c r="J3" s="49" t="s">
        <v>8</v>
      </c>
      <c r="K3" s="5" t="s">
        <v>9</v>
      </c>
    </row>
    <row r="4" spans="2:11" ht="45.95" customHeight="1">
      <c r="B4" s="16" t="s">
        <v>10</v>
      </c>
      <c r="C4" s="28" t="s">
        <v>11</v>
      </c>
      <c r="D4" s="40"/>
      <c r="E4" s="44" t="s">
        <v>12</v>
      </c>
      <c r="F4" s="44"/>
      <c r="G4" s="17"/>
      <c r="H4" s="35">
        <v>17</v>
      </c>
      <c r="I4" s="51">
        <v>34</v>
      </c>
      <c r="J4" s="57"/>
      <c r="K4" s="20"/>
    </row>
    <row r="5" spans="2:11" ht="45.95" customHeight="1">
      <c r="B5" s="21" t="s">
        <v>65</v>
      </c>
      <c r="C5" s="34" t="s">
        <v>41</v>
      </c>
      <c r="D5" s="41" t="s">
        <v>12</v>
      </c>
      <c r="E5" s="45"/>
      <c r="F5" s="45"/>
      <c r="G5" s="22"/>
      <c r="H5" s="36">
        <v>17</v>
      </c>
      <c r="I5" s="52">
        <v>17</v>
      </c>
      <c r="J5" s="54"/>
      <c r="K5" s="23"/>
    </row>
    <row r="6" spans="2:11" ht="45.95" customHeight="1">
      <c r="B6" s="25" t="s">
        <v>19</v>
      </c>
      <c r="C6" s="30" t="s">
        <v>20</v>
      </c>
      <c r="D6" s="42" t="s">
        <v>15</v>
      </c>
      <c r="E6" s="46"/>
      <c r="F6" s="46"/>
      <c r="G6" s="18"/>
      <c r="H6" s="38">
        <v>34</v>
      </c>
      <c r="I6" s="60">
        <v>17</v>
      </c>
      <c r="J6" s="55">
        <v>17</v>
      </c>
      <c r="K6" s="23"/>
    </row>
    <row r="7" spans="2:11" ht="45.95" customHeight="1">
      <c r="B7" s="21" t="s">
        <v>58</v>
      </c>
      <c r="C7" s="29" t="s">
        <v>59</v>
      </c>
      <c r="D7" s="41" t="s">
        <v>12</v>
      </c>
      <c r="E7" s="45"/>
      <c r="F7" s="45"/>
      <c r="G7" s="22"/>
      <c r="H7" s="70"/>
      <c r="I7" s="53">
        <v>17</v>
      </c>
      <c r="J7" s="54"/>
      <c r="K7" s="23"/>
    </row>
    <row r="8" spans="2:11" ht="45.95" customHeight="1">
      <c r="B8" s="21" t="s">
        <v>28</v>
      </c>
      <c r="C8" s="29" t="s">
        <v>16</v>
      </c>
      <c r="D8" s="41" t="s">
        <v>15</v>
      </c>
      <c r="E8" s="45"/>
      <c r="F8" s="45"/>
      <c r="G8" s="22"/>
      <c r="H8" s="36">
        <v>17</v>
      </c>
      <c r="I8" s="52">
        <v>17</v>
      </c>
      <c r="J8" s="58"/>
      <c r="K8" s="24"/>
    </row>
    <row r="9" spans="2:11" ht="45.95" customHeight="1">
      <c r="B9" s="21" t="s">
        <v>21</v>
      </c>
      <c r="C9" s="29" t="s">
        <v>92</v>
      </c>
      <c r="D9" s="41"/>
      <c r="E9" s="45" t="str">
        <f>+D5</f>
        <v>+</v>
      </c>
      <c r="F9" s="45"/>
      <c r="G9" s="22"/>
      <c r="H9" s="36" t="s">
        <v>63</v>
      </c>
      <c r="I9" s="54"/>
      <c r="J9" s="53" t="s">
        <v>93</v>
      </c>
      <c r="K9" s="23"/>
    </row>
    <row r="10" spans="2:11" ht="45.95" customHeight="1">
      <c r="B10" s="21" t="s">
        <v>45</v>
      </c>
      <c r="C10" s="29" t="s">
        <v>94</v>
      </c>
      <c r="D10" s="41" t="s">
        <v>12</v>
      </c>
      <c r="E10" s="45"/>
      <c r="F10" s="45"/>
      <c r="G10" s="22"/>
      <c r="H10" s="36" t="s">
        <v>95</v>
      </c>
      <c r="I10" s="52" t="s">
        <v>93</v>
      </c>
      <c r="J10" s="58"/>
      <c r="K10" s="23"/>
    </row>
    <row r="11" spans="2:11" ht="63.75" customHeight="1">
      <c r="B11" s="25" t="s">
        <v>27</v>
      </c>
      <c r="C11" s="30" t="s">
        <v>17</v>
      </c>
      <c r="D11" s="42" t="s">
        <v>12</v>
      </c>
      <c r="E11" s="46"/>
      <c r="F11" s="46"/>
      <c r="G11" s="18"/>
      <c r="H11" s="37"/>
      <c r="I11" s="55">
        <v>72</v>
      </c>
      <c r="J11" s="59"/>
      <c r="K11" s="19"/>
    </row>
    <row r="12" spans="2:11" ht="45.95" customHeight="1">
      <c r="B12" s="25" t="s">
        <v>30</v>
      </c>
      <c r="C12" s="31" t="s">
        <v>31</v>
      </c>
      <c r="D12" s="42"/>
      <c r="E12" s="46" t="s">
        <v>12</v>
      </c>
      <c r="F12" s="46"/>
      <c r="G12" s="18"/>
      <c r="H12" s="38">
        <v>17</v>
      </c>
      <c r="I12" s="55">
        <v>17</v>
      </c>
      <c r="J12" s="60" t="s">
        <v>79</v>
      </c>
      <c r="K12" s="19"/>
    </row>
    <row r="13" spans="2:11" ht="78.75" customHeight="1" thickBot="1">
      <c r="B13" s="9" t="s">
        <v>76</v>
      </c>
      <c r="C13" s="32" t="s">
        <v>46</v>
      </c>
      <c r="D13" s="43"/>
      <c r="E13" s="47" t="s">
        <v>12</v>
      </c>
      <c r="F13" s="47"/>
      <c r="G13" s="1"/>
      <c r="H13" s="39">
        <v>34</v>
      </c>
      <c r="I13" s="56">
        <v>34</v>
      </c>
      <c r="J13" s="61" t="s">
        <v>79</v>
      </c>
      <c r="K13" s="2"/>
    </row>
    <row r="14" spans="2:11" ht="30.75" customHeight="1" thickBot="1">
      <c r="B14" s="110"/>
      <c r="C14" s="110"/>
      <c r="D14" s="110"/>
      <c r="E14" s="110"/>
      <c r="F14" s="110"/>
      <c r="G14" s="110"/>
      <c r="H14" s="110"/>
      <c r="I14" s="110"/>
      <c r="J14" s="110"/>
      <c r="K14" s="110"/>
    </row>
    <row r="15" spans="2:11" ht="19.5" thickBot="1">
      <c r="B15" s="106"/>
      <c r="C15" s="107"/>
      <c r="D15" s="108" t="s">
        <v>39</v>
      </c>
      <c r="E15" s="108"/>
      <c r="F15" s="108"/>
      <c r="G15" s="108"/>
      <c r="H15" s="108"/>
      <c r="I15" s="108"/>
      <c r="J15" s="108"/>
      <c r="K15" s="109"/>
    </row>
    <row r="16" spans="2:11" ht="19.5" customHeight="1" thickBot="1">
      <c r="B16" s="6" t="s">
        <v>0</v>
      </c>
      <c r="C16" s="76" t="s">
        <v>1</v>
      </c>
      <c r="D16" s="62" t="s">
        <v>2</v>
      </c>
      <c r="E16" s="66" t="s">
        <v>3</v>
      </c>
      <c r="F16" s="66" t="s">
        <v>4</v>
      </c>
      <c r="G16" s="7" t="s">
        <v>5</v>
      </c>
      <c r="H16" s="73" t="s">
        <v>6</v>
      </c>
      <c r="I16" s="66" t="s">
        <v>7</v>
      </c>
      <c r="J16" s="66" t="s">
        <v>8</v>
      </c>
      <c r="K16" s="76" t="s">
        <v>9</v>
      </c>
    </row>
    <row r="17" spans="2:11" ht="39.950000000000003" customHeight="1">
      <c r="B17" s="16" t="s">
        <v>33</v>
      </c>
      <c r="C17" s="33" t="s">
        <v>18</v>
      </c>
      <c r="D17" s="63" t="s">
        <v>15</v>
      </c>
      <c r="E17" s="67"/>
      <c r="F17" s="67"/>
      <c r="G17" s="26"/>
      <c r="H17" s="35">
        <v>19</v>
      </c>
      <c r="I17" s="51">
        <v>19</v>
      </c>
      <c r="J17" s="57"/>
      <c r="K17" s="20"/>
    </row>
    <row r="18" spans="2:11" ht="39.950000000000003" customHeight="1">
      <c r="B18" s="21" t="s">
        <v>47</v>
      </c>
      <c r="C18" s="29" t="s">
        <v>48</v>
      </c>
      <c r="D18" s="64" t="str">
        <f>D17</f>
        <v>+*</v>
      </c>
      <c r="E18" s="68"/>
      <c r="F18" s="68"/>
      <c r="G18" s="27">
        <v>1</v>
      </c>
      <c r="H18" s="36">
        <v>19</v>
      </c>
      <c r="I18" s="52">
        <v>38</v>
      </c>
      <c r="J18" s="54"/>
      <c r="K18" s="23"/>
    </row>
    <row r="19" spans="2:11" ht="39.950000000000003" customHeight="1">
      <c r="B19" s="21" t="s">
        <v>56</v>
      </c>
      <c r="C19" s="34" t="s">
        <v>48</v>
      </c>
      <c r="D19" s="64" t="s">
        <v>12</v>
      </c>
      <c r="E19" s="68"/>
      <c r="F19" s="68"/>
      <c r="G19" s="27"/>
      <c r="H19" s="36">
        <v>19</v>
      </c>
      <c r="I19" s="52">
        <v>38</v>
      </c>
      <c r="J19" s="54"/>
      <c r="K19" s="23"/>
    </row>
    <row r="20" spans="2:11" ht="39.950000000000003" customHeight="1">
      <c r="B20" s="21" t="s">
        <v>36</v>
      </c>
      <c r="C20" s="34" t="s">
        <v>25</v>
      </c>
      <c r="D20" s="64" t="s">
        <v>12</v>
      </c>
      <c r="E20" s="68"/>
      <c r="F20" s="68"/>
      <c r="G20" s="27"/>
      <c r="H20" s="36">
        <v>19</v>
      </c>
      <c r="I20" s="54"/>
      <c r="J20" s="52">
        <v>19</v>
      </c>
      <c r="K20" s="23"/>
    </row>
    <row r="21" spans="2:11" ht="57.75" customHeight="1">
      <c r="B21" s="21" t="s">
        <v>27</v>
      </c>
      <c r="C21" s="29" t="s">
        <v>17</v>
      </c>
      <c r="D21" s="64"/>
      <c r="E21" s="68"/>
      <c r="F21" s="68"/>
      <c r="G21" s="27"/>
      <c r="H21" s="70"/>
      <c r="I21" s="52">
        <v>72</v>
      </c>
      <c r="J21" s="58"/>
      <c r="K21" s="23"/>
    </row>
    <row r="22" spans="2:11" ht="39.950000000000003" customHeight="1">
      <c r="B22" s="21" t="s">
        <v>58</v>
      </c>
      <c r="C22" s="29" t="s">
        <v>59</v>
      </c>
      <c r="D22" s="41"/>
      <c r="E22" s="45" t="s">
        <v>12</v>
      </c>
      <c r="F22" s="45"/>
      <c r="G22" s="22"/>
      <c r="H22" s="70"/>
      <c r="I22" s="53">
        <v>19</v>
      </c>
      <c r="J22" s="58"/>
      <c r="K22" s="23"/>
    </row>
    <row r="23" spans="2:11" ht="39.950000000000003" customHeight="1">
      <c r="B23" s="21" t="s">
        <v>49</v>
      </c>
      <c r="C23" s="29" t="s">
        <v>103</v>
      </c>
      <c r="D23" s="64"/>
      <c r="E23" s="68" t="s">
        <v>12</v>
      </c>
      <c r="F23" s="68"/>
      <c r="G23" s="27"/>
      <c r="H23" s="71" t="s">
        <v>104</v>
      </c>
      <c r="I23" s="53" t="s">
        <v>105</v>
      </c>
      <c r="J23" s="54"/>
      <c r="K23" s="23"/>
    </row>
    <row r="24" spans="2:11" ht="39.950000000000003" customHeight="1">
      <c r="B24" s="21" t="s">
        <v>37</v>
      </c>
      <c r="C24" s="34" t="s">
        <v>38</v>
      </c>
      <c r="D24" s="64"/>
      <c r="E24" s="68" t="s">
        <v>12</v>
      </c>
      <c r="F24" s="68"/>
      <c r="G24" s="27"/>
      <c r="H24" s="36">
        <v>19</v>
      </c>
      <c r="I24" s="52">
        <v>19</v>
      </c>
      <c r="J24" s="53" t="s">
        <v>81</v>
      </c>
      <c r="K24" s="23"/>
    </row>
    <row r="25" spans="2:11" ht="39.950000000000003" customHeight="1">
      <c r="B25" s="21" t="s">
        <v>77</v>
      </c>
      <c r="C25" s="34" t="s">
        <v>78</v>
      </c>
      <c r="D25" s="64" t="s">
        <v>12</v>
      </c>
      <c r="E25" s="68"/>
      <c r="F25" s="68"/>
      <c r="G25" s="27"/>
      <c r="H25" s="36">
        <v>19</v>
      </c>
      <c r="I25" s="52">
        <v>38</v>
      </c>
      <c r="J25" s="54"/>
      <c r="K25" s="23"/>
    </row>
    <row r="26" spans="2:11" ht="39.950000000000003" customHeight="1" thickBot="1">
      <c r="B26" s="9" t="s">
        <v>32</v>
      </c>
      <c r="C26" s="32" t="s">
        <v>31</v>
      </c>
      <c r="D26" s="65"/>
      <c r="E26" s="69" t="s">
        <v>12</v>
      </c>
      <c r="F26" s="69"/>
      <c r="G26" s="8"/>
      <c r="H26" s="77">
        <v>19</v>
      </c>
      <c r="I26" s="61">
        <v>19</v>
      </c>
      <c r="J26" s="61">
        <v>19</v>
      </c>
      <c r="K26" s="2"/>
    </row>
    <row r="27" spans="2:11" ht="22.5">
      <c r="B27" s="11"/>
      <c r="C27" s="12"/>
      <c r="D27" s="13"/>
      <c r="E27" s="13"/>
      <c r="F27" s="13"/>
      <c r="G27" s="13"/>
      <c r="H27" s="14"/>
      <c r="I27" s="14"/>
      <c r="J27" s="14"/>
      <c r="K27" s="15"/>
    </row>
    <row r="28" spans="2:11" ht="18.75">
      <c r="E28" s="99" t="s">
        <v>23</v>
      </c>
      <c r="F28" s="99"/>
      <c r="G28" s="99"/>
      <c r="H28" s="99"/>
      <c r="I28" s="99"/>
      <c r="J28" s="99"/>
      <c r="K28" s="99"/>
    </row>
  </sheetData>
  <mergeCells count="7">
    <mergeCell ref="E28:K28"/>
    <mergeCell ref="B1:K1"/>
    <mergeCell ref="B2:C2"/>
    <mergeCell ref="D2:K2"/>
    <mergeCell ref="B14:K14"/>
    <mergeCell ref="B15:C15"/>
    <mergeCell ref="D15:K15"/>
  </mergeCells>
  <pageMargins left="0.9055118110236221" right="0.31496062992125984" top="0.74803149606299213" bottom="0.74803149606299213" header="0.31496062992125984" footer="0.31496062992125984"/>
  <pageSetup paperSize="9" scale="70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B1:K27"/>
  <sheetViews>
    <sheetView tabSelected="1" zoomScale="80" zoomScaleNormal="80" workbookViewId="0">
      <selection activeCell="B9" sqref="B9"/>
    </sheetView>
  </sheetViews>
  <sheetFormatPr defaultRowHeight="15"/>
  <cols>
    <col min="2" max="2" width="33.5703125" customWidth="1"/>
    <col min="3" max="3" width="24.42578125" customWidth="1"/>
    <col min="4" max="7" width="7.5703125" customWidth="1"/>
    <col min="8" max="11" width="8.7109375" customWidth="1"/>
  </cols>
  <sheetData>
    <row r="1" spans="2:11" ht="23.25" thickBot="1">
      <c r="B1" s="100" t="s">
        <v>86</v>
      </c>
      <c r="C1" s="101"/>
      <c r="D1" s="101"/>
      <c r="E1" s="101"/>
      <c r="F1" s="101"/>
      <c r="G1" s="101"/>
      <c r="H1" s="101"/>
      <c r="I1" s="101"/>
      <c r="J1" s="101"/>
      <c r="K1" s="102"/>
    </row>
    <row r="2" spans="2:11" ht="37.5" customHeight="1" thickBot="1">
      <c r="B2" s="103" t="s">
        <v>85</v>
      </c>
      <c r="C2" s="104"/>
      <c r="D2" s="105" t="s">
        <v>40</v>
      </c>
      <c r="E2" s="105"/>
      <c r="F2" s="105"/>
      <c r="G2" s="105"/>
      <c r="H2" s="105"/>
      <c r="I2" s="105"/>
      <c r="J2" s="105"/>
      <c r="K2" s="104"/>
    </row>
    <row r="3" spans="2:11" ht="19.5" thickBot="1">
      <c r="B3" s="3" t="s">
        <v>0</v>
      </c>
      <c r="C3" s="5" t="s">
        <v>1</v>
      </c>
      <c r="D3" s="48" t="s">
        <v>2</v>
      </c>
      <c r="E3" s="49" t="s">
        <v>3</v>
      </c>
      <c r="F3" s="49" t="s">
        <v>4</v>
      </c>
      <c r="G3" s="4" t="s">
        <v>5</v>
      </c>
      <c r="H3" s="50" t="s">
        <v>6</v>
      </c>
      <c r="I3" s="49" t="s">
        <v>7</v>
      </c>
      <c r="J3" s="49" t="s">
        <v>8</v>
      </c>
      <c r="K3" s="5" t="s">
        <v>9</v>
      </c>
    </row>
    <row r="4" spans="2:11" ht="39.950000000000003" customHeight="1">
      <c r="B4" s="16" t="s">
        <v>54</v>
      </c>
      <c r="C4" s="28" t="s">
        <v>55</v>
      </c>
      <c r="D4" s="40"/>
      <c r="E4" s="44" t="s">
        <v>12</v>
      </c>
      <c r="F4" s="44"/>
      <c r="G4" s="17"/>
      <c r="H4" s="35">
        <v>17</v>
      </c>
      <c r="I4" s="51">
        <v>34</v>
      </c>
      <c r="J4" s="57"/>
      <c r="K4" s="20"/>
    </row>
    <row r="5" spans="2:11" ht="39.950000000000003" customHeight="1">
      <c r="B5" s="21" t="s">
        <v>50</v>
      </c>
      <c r="C5" s="29" t="s">
        <v>51</v>
      </c>
      <c r="D5" s="41" t="s">
        <v>12</v>
      </c>
      <c r="E5" s="45"/>
      <c r="F5" s="45"/>
      <c r="G5" s="22"/>
      <c r="H5" s="36">
        <v>17</v>
      </c>
      <c r="I5" s="52">
        <v>17</v>
      </c>
      <c r="J5" s="52" t="s">
        <v>79</v>
      </c>
      <c r="K5" s="23"/>
    </row>
    <row r="6" spans="2:11" ht="39.950000000000003" customHeight="1">
      <c r="B6" s="21" t="s">
        <v>19</v>
      </c>
      <c r="C6" s="29" t="s">
        <v>20</v>
      </c>
      <c r="D6" s="41" t="s">
        <v>15</v>
      </c>
      <c r="E6" s="45"/>
      <c r="F6" s="45"/>
      <c r="G6" s="22"/>
      <c r="H6" s="36">
        <v>34</v>
      </c>
      <c r="I6" s="53">
        <v>17</v>
      </c>
      <c r="J6" s="52" t="s">
        <v>79</v>
      </c>
      <c r="K6" s="23"/>
    </row>
    <row r="7" spans="2:11" ht="39.950000000000003" customHeight="1">
      <c r="B7" s="21" t="s">
        <v>58</v>
      </c>
      <c r="C7" s="29" t="s">
        <v>59</v>
      </c>
      <c r="D7" s="41" t="s">
        <v>12</v>
      </c>
      <c r="E7" s="45"/>
      <c r="F7" s="45"/>
      <c r="G7" s="22"/>
      <c r="H7" s="70"/>
      <c r="I7" s="53">
        <v>17</v>
      </c>
      <c r="J7" s="54"/>
      <c r="K7" s="23"/>
    </row>
    <row r="8" spans="2:11" ht="39.950000000000003" customHeight="1">
      <c r="B8" s="21" t="s">
        <v>28</v>
      </c>
      <c r="C8" s="29" t="s">
        <v>16</v>
      </c>
      <c r="D8" s="41" t="s">
        <v>15</v>
      </c>
      <c r="E8" s="45"/>
      <c r="F8" s="45"/>
      <c r="G8" s="22"/>
      <c r="H8" s="36">
        <v>17</v>
      </c>
      <c r="I8" s="52">
        <v>17</v>
      </c>
      <c r="J8" s="58"/>
      <c r="K8" s="24"/>
    </row>
    <row r="9" spans="2:11" ht="39.950000000000003" customHeight="1">
      <c r="B9" s="21" t="s">
        <v>52</v>
      </c>
      <c r="C9" s="29" t="s">
        <v>24</v>
      </c>
      <c r="D9" s="41"/>
      <c r="E9" s="45" t="str">
        <f>+D5</f>
        <v>+</v>
      </c>
      <c r="F9" s="45"/>
      <c r="G9" s="22"/>
      <c r="H9" s="36">
        <v>34</v>
      </c>
      <c r="I9" s="53">
        <v>34</v>
      </c>
      <c r="J9" s="53" t="s">
        <v>79</v>
      </c>
      <c r="K9" s="23"/>
    </row>
    <row r="10" spans="2:11" ht="39.950000000000003" customHeight="1">
      <c r="B10" s="21" t="s">
        <v>53</v>
      </c>
      <c r="C10" s="29" t="s">
        <v>24</v>
      </c>
      <c r="D10" s="41"/>
      <c r="E10" s="45" t="s">
        <v>12</v>
      </c>
      <c r="F10" s="45"/>
      <c r="G10" s="22"/>
      <c r="H10" s="36">
        <v>34</v>
      </c>
      <c r="I10" s="52">
        <v>17</v>
      </c>
      <c r="J10" s="53" t="s">
        <v>79</v>
      </c>
      <c r="K10" s="23"/>
    </row>
    <row r="11" spans="2:11" ht="57.75" customHeight="1">
      <c r="B11" s="25" t="s">
        <v>27</v>
      </c>
      <c r="C11" s="30" t="s">
        <v>17</v>
      </c>
      <c r="D11" s="42" t="s">
        <v>12</v>
      </c>
      <c r="E11" s="46"/>
      <c r="F11" s="46"/>
      <c r="G11" s="18"/>
      <c r="H11" s="37"/>
      <c r="I11" s="55">
        <v>72</v>
      </c>
      <c r="J11" s="59"/>
      <c r="K11" s="19"/>
    </row>
    <row r="12" spans="2:11" ht="39.950000000000003" customHeight="1" thickBot="1">
      <c r="B12" s="25" t="s">
        <v>56</v>
      </c>
      <c r="C12" s="31" t="s">
        <v>14</v>
      </c>
      <c r="D12" s="42"/>
      <c r="E12" s="46" t="s">
        <v>12</v>
      </c>
      <c r="F12" s="46"/>
      <c r="G12" s="18"/>
      <c r="H12" s="38">
        <v>17</v>
      </c>
      <c r="I12" s="75"/>
      <c r="J12" s="60" t="s">
        <v>80</v>
      </c>
      <c r="K12" s="19"/>
    </row>
    <row r="13" spans="2:11" ht="19.5" customHeight="1" thickBot="1">
      <c r="B13" s="110"/>
      <c r="C13" s="110"/>
      <c r="D13" s="110"/>
      <c r="E13" s="110"/>
      <c r="F13" s="110"/>
      <c r="G13" s="110"/>
      <c r="H13" s="110"/>
      <c r="I13" s="110"/>
      <c r="J13" s="110"/>
      <c r="K13" s="110"/>
    </row>
    <row r="14" spans="2:11" ht="21.75" customHeight="1" thickBot="1">
      <c r="B14" s="106"/>
      <c r="C14" s="107"/>
      <c r="D14" s="108" t="s">
        <v>39</v>
      </c>
      <c r="E14" s="108"/>
      <c r="F14" s="108"/>
      <c r="G14" s="108"/>
      <c r="H14" s="108"/>
      <c r="I14" s="108"/>
      <c r="J14" s="108"/>
      <c r="K14" s="109"/>
    </row>
    <row r="15" spans="2:11" ht="18.75" customHeight="1" thickBot="1">
      <c r="B15" s="6" t="s">
        <v>0</v>
      </c>
      <c r="C15" s="76" t="s">
        <v>1</v>
      </c>
      <c r="D15" s="62" t="s">
        <v>2</v>
      </c>
      <c r="E15" s="66" t="s">
        <v>3</v>
      </c>
      <c r="F15" s="66" t="s">
        <v>4</v>
      </c>
      <c r="G15" s="7" t="s">
        <v>5</v>
      </c>
      <c r="H15" s="73" t="s">
        <v>6</v>
      </c>
      <c r="I15" s="66" t="s">
        <v>7</v>
      </c>
      <c r="J15" s="66" t="s">
        <v>8</v>
      </c>
      <c r="K15" s="76" t="s">
        <v>9</v>
      </c>
    </row>
    <row r="16" spans="2:11" ht="39.950000000000003" customHeight="1">
      <c r="B16" s="16" t="s">
        <v>33</v>
      </c>
      <c r="C16" s="33" t="s">
        <v>18</v>
      </c>
      <c r="D16" s="63" t="s">
        <v>15</v>
      </c>
      <c r="E16" s="67"/>
      <c r="F16" s="67"/>
      <c r="G16" s="26"/>
      <c r="H16" s="35">
        <v>19</v>
      </c>
      <c r="I16" s="51">
        <v>19</v>
      </c>
      <c r="J16" s="57"/>
      <c r="K16" s="20"/>
    </row>
    <row r="17" spans="2:11" ht="39.950000000000003" customHeight="1">
      <c r="B17" s="21" t="s">
        <v>50</v>
      </c>
      <c r="C17" s="29" t="s">
        <v>51</v>
      </c>
      <c r="D17" s="41"/>
      <c r="E17" s="45" t="s">
        <v>12</v>
      </c>
      <c r="F17" s="45"/>
      <c r="G17" s="22"/>
      <c r="H17" s="36">
        <v>19</v>
      </c>
      <c r="I17" s="52">
        <v>19</v>
      </c>
      <c r="J17" s="52" t="s">
        <v>81</v>
      </c>
      <c r="K17" s="23"/>
    </row>
    <row r="18" spans="2:11" ht="39.950000000000003" customHeight="1">
      <c r="B18" s="21" t="s">
        <v>52</v>
      </c>
      <c r="C18" s="29" t="s">
        <v>24</v>
      </c>
      <c r="D18" s="41"/>
      <c r="E18" s="45" t="s">
        <v>12</v>
      </c>
      <c r="F18" s="45"/>
      <c r="G18" s="22"/>
      <c r="H18" s="36">
        <v>19</v>
      </c>
      <c r="I18" s="54"/>
      <c r="J18" s="53" t="s">
        <v>81</v>
      </c>
      <c r="K18" s="23"/>
    </row>
    <row r="19" spans="2:11" ht="39.950000000000003" customHeight="1">
      <c r="B19" s="21" t="s">
        <v>36</v>
      </c>
      <c r="C19" s="34" t="s">
        <v>25</v>
      </c>
      <c r="D19" s="64" t="s">
        <v>12</v>
      </c>
      <c r="E19" s="68"/>
      <c r="F19" s="68"/>
      <c r="G19" s="27"/>
      <c r="H19" s="36">
        <v>19</v>
      </c>
      <c r="I19" s="54"/>
      <c r="J19" s="52" t="s">
        <v>81</v>
      </c>
      <c r="K19" s="23"/>
    </row>
    <row r="20" spans="2:11" ht="61.5" customHeight="1">
      <c r="B20" s="21" t="s">
        <v>27</v>
      </c>
      <c r="C20" s="29" t="s">
        <v>17</v>
      </c>
      <c r="D20" s="64" t="s">
        <v>12</v>
      </c>
      <c r="E20" s="68"/>
      <c r="F20" s="68"/>
      <c r="G20" s="27"/>
      <c r="H20" s="70"/>
      <c r="I20" s="52">
        <v>72</v>
      </c>
      <c r="J20" s="58"/>
      <c r="K20" s="23"/>
    </row>
    <row r="21" spans="2:11" ht="39.950000000000003" customHeight="1">
      <c r="B21" s="21" t="s">
        <v>58</v>
      </c>
      <c r="C21" s="29" t="s">
        <v>59</v>
      </c>
      <c r="D21" s="41"/>
      <c r="E21" s="45" t="s">
        <v>12</v>
      </c>
      <c r="F21" s="45"/>
      <c r="G21" s="22"/>
      <c r="H21" s="70"/>
      <c r="I21" s="53">
        <v>19</v>
      </c>
      <c r="J21" s="58"/>
      <c r="K21" s="23"/>
    </row>
    <row r="22" spans="2:11" ht="39.950000000000003" customHeight="1">
      <c r="B22" s="21" t="s">
        <v>82</v>
      </c>
      <c r="C22" s="29" t="s">
        <v>83</v>
      </c>
      <c r="D22" s="64" t="str">
        <f>D16</f>
        <v>+*</v>
      </c>
      <c r="E22" s="68"/>
      <c r="F22" s="68"/>
      <c r="G22" s="27"/>
      <c r="H22" s="71">
        <v>38</v>
      </c>
      <c r="I22" s="53">
        <v>38</v>
      </c>
      <c r="J22" s="53" t="s">
        <v>81</v>
      </c>
      <c r="K22" s="23"/>
    </row>
    <row r="23" spans="2:11" ht="39.950000000000003" customHeight="1">
      <c r="B23" s="21" t="s">
        <v>37</v>
      </c>
      <c r="C23" s="34" t="s">
        <v>38</v>
      </c>
      <c r="D23" s="64"/>
      <c r="E23" s="68" t="s">
        <v>12</v>
      </c>
      <c r="F23" s="68"/>
      <c r="G23" s="27"/>
      <c r="H23" s="36">
        <v>19</v>
      </c>
      <c r="I23" s="52">
        <v>19</v>
      </c>
      <c r="J23" s="53" t="s">
        <v>81</v>
      </c>
      <c r="K23" s="23"/>
    </row>
    <row r="24" spans="2:11" ht="39.950000000000003" customHeight="1">
      <c r="B24" s="21" t="s">
        <v>84</v>
      </c>
      <c r="C24" s="34" t="s">
        <v>55</v>
      </c>
      <c r="D24" s="64" t="s">
        <v>12</v>
      </c>
      <c r="E24" s="68"/>
      <c r="F24" s="68"/>
      <c r="G24" s="27"/>
      <c r="H24" s="36">
        <v>38</v>
      </c>
      <c r="I24" s="52">
        <v>19</v>
      </c>
      <c r="J24" s="53">
        <v>19</v>
      </c>
      <c r="K24" s="23"/>
    </row>
    <row r="25" spans="2:11" ht="39.950000000000003" customHeight="1" thickBot="1">
      <c r="B25" s="9" t="s">
        <v>57</v>
      </c>
      <c r="C25" s="32" t="s">
        <v>24</v>
      </c>
      <c r="D25" s="65" t="s">
        <v>12</v>
      </c>
      <c r="E25" s="69"/>
      <c r="F25" s="69"/>
      <c r="G25" s="8"/>
      <c r="H25" s="77">
        <v>19</v>
      </c>
      <c r="I25" s="72"/>
      <c r="J25" s="61" t="s">
        <v>81</v>
      </c>
      <c r="K25" s="2"/>
    </row>
    <row r="26" spans="2:11" ht="22.5">
      <c r="B26" s="11"/>
      <c r="C26" s="12"/>
      <c r="D26" s="13"/>
      <c r="E26" s="13"/>
      <c r="F26" s="13"/>
      <c r="G26" s="13"/>
      <c r="H26" s="14"/>
      <c r="I26" s="14"/>
      <c r="J26" s="14"/>
      <c r="K26" s="15"/>
    </row>
    <row r="27" spans="2:11" ht="18.75">
      <c r="E27" s="99" t="s">
        <v>23</v>
      </c>
      <c r="F27" s="99"/>
      <c r="G27" s="99"/>
      <c r="H27" s="99"/>
      <c r="I27" s="99"/>
      <c r="J27" s="99"/>
      <c r="K27" s="99"/>
    </row>
  </sheetData>
  <mergeCells count="7">
    <mergeCell ref="E27:K27"/>
    <mergeCell ref="B1:K1"/>
    <mergeCell ref="B2:C2"/>
    <mergeCell ref="D2:K2"/>
    <mergeCell ref="B13:K13"/>
    <mergeCell ref="B14:C14"/>
    <mergeCell ref="D14:K14"/>
  </mergeCells>
  <pageMargins left="0.9055118110236221" right="0.31496062992125984" top="0.74803149606299213" bottom="0.74803149606299213" header="0.31496062992125984" footer="0.31496062992125984"/>
  <pageSetup paperSize="9" scale="7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5</vt:i4>
      </vt:variant>
    </vt:vector>
  </HeadingPairs>
  <TitlesOfParts>
    <vt:vector size="10" baseType="lpstr">
      <vt:lpstr>БХТ-25</vt:lpstr>
      <vt:lpstr>БМТ-25</vt:lpstr>
      <vt:lpstr>БЭЭ-25</vt:lpstr>
      <vt:lpstr>БТМО-25</vt:lpstr>
      <vt:lpstr>БПИ-25</vt:lpstr>
      <vt:lpstr>'БМТ-25'!Область_печати</vt:lpstr>
      <vt:lpstr>'БПИ-25'!Область_печати</vt:lpstr>
      <vt:lpstr>'БТМО-25'!Область_печати</vt:lpstr>
      <vt:lpstr>'БХТ-25'!Область_печати</vt:lpstr>
      <vt:lpstr>'БЭЭ-25'!Область_печати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2026-08-14T10:30:07Z</dcterms:modified>
</cp:coreProperties>
</file>